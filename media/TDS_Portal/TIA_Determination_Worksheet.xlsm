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1.xml" ContentType="application/vnd.openxmlformats-officedocument.spreadsheetml.comments+xml"/>
  <Override PartName="/xl/featurePropertyBag/featurePropertyBag.xml" ContentType="application/vnd.ms-excel.featurepropertyba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pullenc\Downloads\"/>
    </mc:Choice>
  </mc:AlternateContent>
  <xr:revisionPtr revIDLastSave="0" documentId="13_ncr:1_{26419D09-E730-4FAA-B217-06F38BA44034}" xr6:coauthVersionLast="47" xr6:coauthVersionMax="47" xr10:uidLastSave="{00000000-0000-0000-0000-000000000000}"/>
  <bookViews>
    <workbookView xWindow="-6105" yWindow="-21720" windowWidth="51840" windowHeight="21120" xr2:uid="{0FEAA574-8D63-4345-BB6D-A00E4EFBF475}"/>
  </bookViews>
  <sheets>
    <sheet name="Instructions" sheetId="3" r:id="rId1"/>
    <sheet name="TDW" sheetId="1" r:id="rId2"/>
    <sheet name="Land Uses" sheetId="2" r:id="rId3"/>
  </sheets>
  <definedNames>
    <definedName name="_xleta.AND" hidden="1" xlm="1">#NAME?</definedName>
    <definedName name="_xleta.IF" hidden="1" xlm="1">#NAME?</definedName>
    <definedName name="_xleta.INFO" hidden="1" xlm="1">#NAME?</definedName>
    <definedName name="_xleta.OR" hidden="1" xlm="1">#NAME?</definedName>
    <definedName name="_xleta.ROW" hidden="1" xlm="1">#NAME?</definedName>
    <definedName name="Industrial_100s">'Land Uses'!$Q$3:$Q$16</definedName>
    <definedName name="Institutional_500s">'Land Uses'!$U$3:$U$24</definedName>
    <definedName name="Lodging_300s">'Land Uses'!$S$3:$S$7</definedName>
    <definedName name="Medical_600s">'Land Uses'!$V$3:$V$7</definedName>
    <definedName name="Office_700s">'Land Uses'!$W$3:$W$13</definedName>
    <definedName name="Port_and_Terminal_000s">'Land Uses'!$P$3:$P$6</definedName>
    <definedName name="_xlnm.Print_Area" localSheetId="1">TDW!$A$1:$X$86</definedName>
    <definedName name="Recreational_400s">'Land Uses'!$T$3:$T$32</definedName>
    <definedName name="Residential_200s">'Land Uses'!$R$3:$R$18</definedName>
    <definedName name="Retail_800s">'Land Uses'!$X$3:$X$46</definedName>
    <definedName name="Services_900s">'Land Uses'!$Y$3:$Y$30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9" i="1" l="1"/>
  <c r="B77" i="1"/>
  <c r="B70" i="1"/>
  <c r="T68" i="1" l="1"/>
  <c r="V39" i="1"/>
  <c r="V40" i="1"/>
  <c r="V41" i="1"/>
  <c r="V42" i="1"/>
  <c r="V43" i="1"/>
  <c r="V44" i="1"/>
  <c r="V45" i="1"/>
  <c r="T37" i="1"/>
  <c r="V37" i="1" s="1"/>
  <c r="T38" i="1"/>
  <c r="V38" i="1" s="1"/>
  <c r="T39" i="1"/>
  <c r="T40" i="1"/>
  <c r="T41" i="1"/>
  <c r="T42" i="1"/>
  <c r="T43" i="1"/>
  <c r="T44" i="1"/>
  <c r="T45" i="1"/>
  <c r="S37" i="1"/>
  <c r="S38" i="1"/>
  <c r="S39" i="1"/>
  <c r="S40" i="1"/>
  <c r="S41" i="1"/>
  <c r="S42" i="1"/>
  <c r="S43" i="1"/>
  <c r="S44" i="1"/>
  <c r="S45" i="1"/>
  <c r="O37" i="1"/>
  <c r="O38" i="1"/>
  <c r="O39" i="1"/>
  <c r="O40" i="1"/>
  <c r="O41" i="1"/>
  <c r="O42" i="1"/>
  <c r="O43" i="1"/>
  <c r="O44" i="1"/>
  <c r="O45" i="1"/>
  <c r="T36" i="1"/>
  <c r="V36" i="1" s="1"/>
  <c r="S36" i="1"/>
  <c r="O36" i="1"/>
  <c r="V20" i="1"/>
  <c r="V21" i="1"/>
  <c r="V22" i="1"/>
  <c r="V23" i="1"/>
  <c r="V24" i="1"/>
  <c r="V25" i="1"/>
  <c r="V26" i="1"/>
  <c r="V27" i="1"/>
  <c r="T19" i="1"/>
  <c r="V19" i="1" s="1"/>
  <c r="T20" i="1"/>
  <c r="T21" i="1"/>
  <c r="T22" i="1"/>
  <c r="T23" i="1"/>
  <c r="T24" i="1"/>
  <c r="T25" i="1"/>
  <c r="T26" i="1"/>
  <c r="T27" i="1"/>
  <c r="S19" i="1"/>
  <c r="S20" i="1"/>
  <c r="S21" i="1"/>
  <c r="S22" i="1"/>
  <c r="S23" i="1"/>
  <c r="S24" i="1"/>
  <c r="S25" i="1"/>
  <c r="S26" i="1"/>
  <c r="S27" i="1"/>
  <c r="O19" i="1"/>
  <c r="O20" i="1"/>
  <c r="O21" i="1"/>
  <c r="O22" i="1"/>
  <c r="O23" i="1"/>
  <c r="O24" i="1"/>
  <c r="O25" i="1"/>
  <c r="O26" i="1"/>
  <c r="O27" i="1"/>
  <c r="V18" i="1"/>
  <c r="T18" i="1"/>
  <c r="S18" i="1"/>
  <c r="O18" i="1"/>
  <c r="AB59" i="1"/>
  <c r="AB58" i="1"/>
  <c r="AB57" i="1"/>
  <c r="AB56" i="1"/>
  <c r="D169" i="2"/>
  <c r="D163" i="2"/>
  <c r="D144" i="2"/>
  <c r="D100" i="2"/>
  <c r="D96" i="2"/>
  <c r="D95" i="2"/>
  <c r="D57" i="2"/>
  <c r="D56" i="2"/>
  <c r="D54" i="2"/>
  <c r="D4" i="2"/>
  <c r="J9" i="1" l="1"/>
  <c r="AB19" i="1" l="1"/>
  <c r="B63" i="1" l="1"/>
  <c r="F68" i="1"/>
  <c r="P68" i="1"/>
  <c r="K68" i="1" s="1"/>
  <c r="V52" i="1"/>
  <c r="U52" i="1"/>
  <c r="B66" i="1" l="1"/>
  <c r="B74" i="1" s="1"/>
  <c r="H6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Hasan, Manar</author>
  </authors>
  <commentList>
    <comment ref="A29" authorId="0" shapeId="0" xr:uid="{D32DE425-6681-4C29-9FD9-DC574B6DD935}">
      <text>
        <r>
          <rPr>
            <sz val="9"/>
            <color indexed="81"/>
            <rFont val="Tahoma"/>
            <family val="2"/>
          </rPr>
          <t>Adjacent to Campus</t>
        </r>
      </text>
    </comment>
    <comment ref="A30" authorId="0" shapeId="0" xr:uid="{BBB8D2B3-B2E5-42F6-8064-091AED807B58}">
      <text>
        <r>
          <rPr>
            <sz val="9"/>
            <color indexed="81"/>
            <rFont val="Tahoma"/>
            <family val="2"/>
          </rPr>
          <t>Adjacent to Campus</t>
        </r>
      </text>
    </comment>
    <comment ref="A31" authorId="0" shapeId="0" xr:uid="{84FD79AF-F831-4974-904C-26085EE5C3E4}">
      <text>
        <r>
          <rPr>
            <sz val="9"/>
            <color indexed="81"/>
            <rFont val="Tahoma"/>
            <family val="2"/>
          </rPr>
          <t>Adjacent to Campus</t>
        </r>
      </text>
    </comment>
    <comment ref="A186" authorId="0" shapeId="0" xr:uid="{F23CC896-6660-487E-8FEF-69AE68BC393D}">
      <text>
        <r>
          <rPr>
            <sz val="9"/>
            <color indexed="81"/>
            <rFont val="Tahoma"/>
            <family val="2"/>
          </rPr>
          <t xml:space="preserve">GFA 2-4k
</t>
        </r>
      </text>
    </comment>
    <comment ref="A191" authorId="0" shapeId="0" xr:uid="{6E6FFD5A-D39D-4458-9551-B5402889B2DF}">
      <text>
        <r>
          <rPr>
            <sz val="9"/>
            <color indexed="81"/>
            <rFont val="Tahoma"/>
            <family val="2"/>
          </rPr>
          <t>Close to Airport</t>
        </r>
      </text>
    </comment>
  </commentList>
</comments>
</file>

<file path=xl/sharedStrings.xml><?xml version="1.0" encoding="utf-8"?>
<sst xmlns="http://schemas.openxmlformats.org/spreadsheetml/2006/main" count="1493" uniqueCount="806">
  <si>
    <t>Traffic Impact Analysis (TIA) Determination Worksheet</t>
  </si>
  <si>
    <t>Location:</t>
  </si>
  <si>
    <t>Zoning</t>
  </si>
  <si>
    <t>By checking the box below, the applicant acknowledges that City Council has adopted a Street Impact Fee (SIF) program effective December 21, 2020, and that street impact fees will be assessed for any building permit pulled on or after June 21, 2022. For more information on the Street Impact Fee program, please visit www.austintexas.gov/department/street-impact-fee</t>
  </si>
  <si>
    <t>Land Use</t>
  </si>
  <si>
    <t>Custom:</t>
  </si>
  <si>
    <t>Abutting Roadways:</t>
  </si>
  <si>
    <t>Street Name</t>
  </si>
  <si>
    <t>Proposed Access (Y/N)</t>
  </si>
  <si>
    <t>Proposed # of Driveways</t>
  </si>
  <si>
    <t>ASMP Street Level</t>
  </si>
  <si>
    <t>For TPW Staff Use Only</t>
  </si>
  <si>
    <t>Date:</t>
  </si>
  <si>
    <t xml:space="preserve">More information on study requirements and how to submit can be found online at the TDS customer portal (https://atd.knack.com/development-services#customer-portal/) </t>
  </si>
  <si>
    <t>LAND USE</t>
  </si>
  <si>
    <t>CODE</t>
  </si>
  <si>
    <t>UNITS</t>
  </si>
  <si>
    <t>Rate</t>
  </si>
  <si>
    <t>FCE</t>
  </si>
  <si>
    <t>Rate vs FCE</t>
  </si>
  <si>
    <t>Notes</t>
  </si>
  <si>
    <t>Coefficient</t>
  </si>
  <si>
    <t>Constant</t>
  </si>
  <si>
    <t>Multiplier</t>
  </si>
  <si>
    <t>Equation Type</t>
  </si>
  <si>
    <t>Port and Terminal (Land Uses 000-099)</t>
  </si>
  <si>
    <t>Commercial Airport</t>
  </si>
  <si>
    <t>021</t>
  </si>
  <si>
    <t>Employees </t>
  </si>
  <si>
    <t>030</t>
  </si>
  <si>
    <t>T = 0.22(X) + 35.12) * 10</t>
  </si>
  <si>
    <t>Linear</t>
  </si>
  <si>
    <t>Park-and-Ride Lot with Bus or Light Rail Service</t>
  </si>
  <si>
    <t>090</t>
  </si>
  <si>
    <t>Occupied Parking Spaces </t>
  </si>
  <si>
    <t>T = 3.78(X) + 44.13</t>
  </si>
  <si>
    <t>Industrial (Land Uses 100–199)</t>
  </si>
  <si>
    <t/>
  </si>
  <si>
    <t>General Light Industrial</t>
  </si>
  <si>
    <t>Industrial Park</t>
  </si>
  <si>
    <t>Exponential</t>
  </si>
  <si>
    <t>Manufacturing</t>
  </si>
  <si>
    <t>Mini-Warehouse</t>
  </si>
  <si>
    <t>High-Cube Transload and Short-Term Storage Warehouse</t>
  </si>
  <si>
    <t>High-Cube Fulfillment Center Warehouse</t>
  </si>
  <si>
    <t>High-Cube Parcel Hub Warehouse</t>
  </si>
  <si>
    <t>High-Cube Cold Storage Warehouse</t>
  </si>
  <si>
    <t>Data Center</t>
  </si>
  <si>
    <t>Utility</t>
  </si>
  <si>
    <t>Ln(T) = 0.74Ln(X) + 2.73</t>
  </si>
  <si>
    <t>collect local data</t>
  </si>
  <si>
    <t>Specialty Trade Contractor</t>
  </si>
  <si>
    <t>Residential (Land Uses 200–299)</t>
  </si>
  <si>
    <t>Single-Family Detached Housing</t>
  </si>
  <si>
    <t>Dwelling Units </t>
  </si>
  <si>
    <t>Single-Family Attached Housing</t>
  </si>
  <si>
    <t>Multifamily Housing (Low-Rise)</t>
  </si>
  <si>
    <t>Multifamily Housing (Mid-Rise)</t>
  </si>
  <si>
    <t>Multifamily Housing (High-Rise)</t>
  </si>
  <si>
    <t>Affordable Housing</t>
  </si>
  <si>
    <t>T = 3.73(X) + 139.35</t>
  </si>
  <si>
    <t>Off-Campus Student Apartment (Low-Rise)</t>
  </si>
  <si>
    <t>Bedrooms </t>
  </si>
  <si>
    <t>Ln(T) = 0.75Ln(X) + 2.87</t>
  </si>
  <si>
    <t>Off-Campus Student Apartment (Mid-Rise)</t>
  </si>
  <si>
    <t>Off-Campus Student Apartment (High-Rise)</t>
  </si>
  <si>
    <t>Low-Rise Residential with Ground-Floor Commercial</t>
  </si>
  <si>
    <t>Dwelling Units for residential and Gross Floor Area (Sq. Ft.) for Commercial </t>
  </si>
  <si>
    <t>Mid-Rise Residential with Ground-Floor Commercial</t>
  </si>
  <si>
    <t>High-Rise Residential with Ground-Floor Commercial</t>
  </si>
  <si>
    <t>Mobile Home Park</t>
  </si>
  <si>
    <t>Senior Adult Housing—Single-Family</t>
  </si>
  <si>
    <t>Senior Adult Housing—Multifamily</t>
  </si>
  <si>
    <t>Congregate Care Facility</t>
  </si>
  <si>
    <t>Assisted Living</t>
  </si>
  <si>
    <t>Continuing Care Retirement Community</t>
  </si>
  <si>
    <t>CCRC Units</t>
  </si>
  <si>
    <t>Recreational Homes</t>
  </si>
  <si>
    <t>Timeshare</t>
  </si>
  <si>
    <t>Lodging (Land Uses 300–399)</t>
  </si>
  <si>
    <t>Hotel</t>
  </si>
  <si>
    <t>Rooms </t>
  </si>
  <si>
    <t>All Suites Hotel</t>
  </si>
  <si>
    <t>T = 5.16(X) - 112.23</t>
  </si>
  <si>
    <t>T = 2.90(X) + 151.69</t>
  </si>
  <si>
    <t>Motel</t>
  </si>
  <si>
    <t>T = 3.62(X) - 29.43</t>
  </si>
  <si>
    <t>Resort Hotel</t>
  </si>
  <si>
    <t>Recreational (Land Uses 400–499)</t>
  </si>
  <si>
    <t>Public Park</t>
  </si>
  <si>
    <t>Acres </t>
  </si>
  <si>
    <t>T = 0.54(X) + 88.46</t>
  </si>
  <si>
    <t>Campground/Recreational Vehicle Park</t>
  </si>
  <si>
    <t>Golf Course</t>
  </si>
  <si>
    <t>T = 34.93(X) - 102.33</t>
  </si>
  <si>
    <t>Miniature Golf Course</t>
  </si>
  <si>
    <t>Holes </t>
  </si>
  <si>
    <t>Golf Driving Range</t>
  </si>
  <si>
    <t>Tees or Driving Positions </t>
  </si>
  <si>
    <t>Batting Cages</t>
  </si>
  <si>
    <t>Cages </t>
  </si>
  <si>
    <t>Rock Climbing Gym</t>
  </si>
  <si>
    <t>Multipurpose Recreational Facility</t>
  </si>
  <si>
    <t>Trampoline Park</t>
  </si>
  <si>
    <t>Bowling Alley</t>
  </si>
  <si>
    <t>Bowling Lanes </t>
  </si>
  <si>
    <t>T = (2.75(X) - 43)*10</t>
  </si>
  <si>
    <t>Adult Cabaret</t>
  </si>
  <si>
    <t>Movie Theater</t>
  </si>
  <si>
    <t>Horse Racetrack</t>
  </si>
  <si>
    <t>Seats </t>
  </si>
  <si>
    <t>Automobile Racetrack</t>
  </si>
  <si>
    <t>Attendees </t>
  </si>
  <si>
    <t>Dog Racetrack</t>
  </si>
  <si>
    <t>Professional Baseball Stadium</t>
  </si>
  <si>
    <t>Ice Skating Rink</t>
  </si>
  <si>
    <t>Rinks </t>
  </si>
  <si>
    <t>Snow Ski Area</t>
  </si>
  <si>
    <t>Lifts </t>
  </si>
  <si>
    <t>Bingo Hall</t>
  </si>
  <si>
    <t>Casino</t>
  </si>
  <si>
    <t>T = 172.89(X) + 8101.66</t>
  </si>
  <si>
    <t>Fields </t>
  </si>
  <si>
    <t>Tennis Courts</t>
  </si>
  <si>
    <t>Racquet/Tennis Club</t>
  </si>
  <si>
    <t>Health/Fitness Club</t>
  </si>
  <si>
    <t>Athletic Club</t>
  </si>
  <si>
    <t>Recreational Community Center</t>
  </si>
  <si>
    <t>Ln(T) = 0.98Ln(X) + 3.42</t>
  </si>
  <si>
    <t>Institutional (Land Uses 500–599)</t>
  </si>
  <si>
    <t>Military Base</t>
  </si>
  <si>
    <t>Elementary School</t>
  </si>
  <si>
    <t>Students </t>
  </si>
  <si>
    <t>Middle School/Junior High School</t>
  </si>
  <si>
    <t>High School</t>
  </si>
  <si>
    <t>School District Office</t>
  </si>
  <si>
    <t>Private School (K-8)</t>
  </si>
  <si>
    <t>Private School (K-12)</t>
  </si>
  <si>
    <t>Private High School</t>
  </si>
  <si>
    <t>Charter Elementary School</t>
  </si>
  <si>
    <t>Charter School (K-12)</t>
  </si>
  <si>
    <t>Junior/Community College</t>
  </si>
  <si>
    <t>Ln(T) = 0.67Ln(X) + 3.27</t>
  </si>
  <si>
    <t>University/College</t>
  </si>
  <si>
    <t>Church</t>
  </si>
  <si>
    <t>Synagogue</t>
  </si>
  <si>
    <t>Mosque</t>
  </si>
  <si>
    <t>Day Care Center</t>
  </si>
  <si>
    <t>Cemetery</t>
  </si>
  <si>
    <t>T = 4.65(X) + 70.83</t>
  </si>
  <si>
    <t>Adult Detention Facility</t>
  </si>
  <si>
    <t>Fire and Rescue Station</t>
  </si>
  <si>
    <t>Museum</t>
  </si>
  <si>
    <t>Library</t>
  </si>
  <si>
    <t>Ln(T) = 0.99Ln(X) + 4.28</t>
  </si>
  <si>
    <t>Medical (Land Uses 600–699)</t>
  </si>
  <si>
    <t>Hospital</t>
  </si>
  <si>
    <t>Nursing Home</t>
  </si>
  <si>
    <t>Ln(T) = 0.85Ln(X) + 2.45</t>
  </si>
  <si>
    <t>Animal Hospital/Veterinary Clinic</t>
  </si>
  <si>
    <t>Free-Standing Emergency Room</t>
  </si>
  <si>
    <t>Office (Land Uses 700–799)</t>
  </si>
  <si>
    <t>General Office Building</t>
  </si>
  <si>
    <t>Small Office Building</t>
  </si>
  <si>
    <t>Corporate Headquarters Building</t>
  </si>
  <si>
    <t>Single Tenant Office Building</t>
  </si>
  <si>
    <t>Medical-Dental Office Building</t>
  </si>
  <si>
    <t>Government Office Building</t>
  </si>
  <si>
    <t>State Motor Vehicles Department</t>
  </si>
  <si>
    <t>United States Post Office</t>
  </si>
  <si>
    <t>Office Park</t>
  </si>
  <si>
    <t>Research and Development Center</t>
  </si>
  <si>
    <t>Business Park</t>
  </si>
  <si>
    <t>Retail (Land Uses 800–899)</t>
  </si>
  <si>
    <t>Tractor Supply Store</t>
  </si>
  <si>
    <t>Construction Equipment Rental Store</t>
  </si>
  <si>
    <t>Building Materials and Lumber Store</t>
  </si>
  <si>
    <t>Free-Standing Discount Superstore</t>
  </si>
  <si>
    <t>Variety Store</t>
  </si>
  <si>
    <t>Free-Standing Discount Store</t>
  </si>
  <si>
    <t>Ln(T) = 0.77Ln(X) + 5.05</t>
  </si>
  <si>
    <t>Hardware/Paint Store</t>
  </si>
  <si>
    <t>Nursery (Garden Center)</t>
  </si>
  <si>
    <t>Shopping Center (&gt;150k)</t>
  </si>
  <si>
    <t>Strip Retail Plaza (&lt;40k)</t>
  </si>
  <si>
    <t>T = 42.20(X) + 229.68</t>
  </si>
  <si>
    <t>Factory Outlet Center</t>
  </si>
  <si>
    <t>Automobile Sales (New)</t>
  </si>
  <si>
    <t>T = 28.65(X) - 29.45</t>
  </si>
  <si>
    <t>Automobile Sales (Used)</t>
  </si>
  <si>
    <t>Recreational Vehicle Sales</t>
  </si>
  <si>
    <t>Automobile Parts Sales</t>
  </si>
  <si>
    <t>T = 71.05(X) - 127.72</t>
  </si>
  <si>
    <t>Tire Store</t>
  </si>
  <si>
    <t>Tire Superstore</t>
  </si>
  <si>
    <t>Supermarket</t>
  </si>
  <si>
    <t>Convenience Store</t>
  </si>
  <si>
    <t>Discount Club</t>
  </si>
  <si>
    <t>Farmers Market</t>
  </si>
  <si>
    <t>Wholesale Market</t>
  </si>
  <si>
    <t>Sporting Goods Superstore</t>
  </si>
  <si>
    <t>T = 28.15(X) - 376.5</t>
  </si>
  <si>
    <t>Home Improvement Superstore</t>
  </si>
  <si>
    <t>Electronics Superstore</t>
  </si>
  <si>
    <t>T = 84.01(X) - 1576.41</t>
  </si>
  <si>
    <t>Toy/Children’s Superstore</t>
  </si>
  <si>
    <t>Baby Superstore</t>
  </si>
  <si>
    <t>Pet Supply Superstore</t>
  </si>
  <si>
    <t>Office Supply Superstore</t>
  </si>
  <si>
    <t>Book Superstore</t>
  </si>
  <si>
    <t>Discount Home Furnishing Superstore</t>
  </si>
  <si>
    <t>Bed and Linen Superstore</t>
  </si>
  <si>
    <t>Department Store</t>
  </si>
  <si>
    <t>T = 67.09(X) - 4618.37</t>
  </si>
  <si>
    <t>Apparel Store</t>
  </si>
  <si>
    <t>Arts and Crafts Store</t>
  </si>
  <si>
    <t>Ln(T) = 0.99Ln(X) + 4.51</t>
  </si>
  <si>
    <t>Beverage Container Recycling Depot</t>
  </si>
  <si>
    <t>Medical Equipment Store</t>
  </si>
  <si>
    <t>Liquor Store</t>
  </si>
  <si>
    <t>Ln(T) = 0.52Ln(X) + 5.75</t>
  </si>
  <si>
    <t>Services (Land Uses 900–999)</t>
  </si>
  <si>
    <t>Walk-in Bank</t>
  </si>
  <si>
    <t>Drive-in Bank</t>
  </si>
  <si>
    <t>Copy, Print, and Express Ship Store</t>
  </si>
  <si>
    <t>Food Cart Pod</t>
  </si>
  <si>
    <t>Food Carts </t>
  </si>
  <si>
    <t>Fast Casual Restaurant</t>
  </si>
  <si>
    <t>Fine Dining Restaurant</t>
  </si>
  <si>
    <t>High-Turnover (Sit-Down) Restaurant</t>
  </si>
  <si>
    <t>Drive-Through Lanes </t>
  </si>
  <si>
    <t>Quick Lubrication Vehicle Shop</t>
  </si>
  <si>
    <t>Automobile Care Center</t>
  </si>
  <si>
    <t>Automobile Parts and Service Center</t>
  </si>
  <si>
    <t>Gasoline/Service Station</t>
  </si>
  <si>
    <t>Vehicle Fueling Positions </t>
  </si>
  <si>
    <t>Convenience Store/Gas Station</t>
  </si>
  <si>
    <t>Self-Service Car Wash</t>
  </si>
  <si>
    <t>Wash Stalls </t>
  </si>
  <si>
    <t>Automated Car Wash</t>
  </si>
  <si>
    <t>Car Wash and Detail Center</t>
  </si>
  <si>
    <t>Wine Tasting Room</t>
  </si>
  <si>
    <t>Brewery Tap Room</t>
  </si>
  <si>
    <t>Drinking Place</t>
  </si>
  <si>
    <t>Y</t>
  </si>
  <si>
    <t>N</t>
  </si>
  <si>
    <t>N/A</t>
  </si>
  <si>
    <t>Net Trips</t>
  </si>
  <si>
    <t>021 - Commercial Airport</t>
  </si>
  <si>
    <t>090 - Park-and-Ride Lot with Bus or Light Rail Service</t>
  </si>
  <si>
    <t>110 - General Light Industrial</t>
  </si>
  <si>
    <t>130 - Industrial Park</t>
  </si>
  <si>
    <t>140 - Manufacturing</t>
  </si>
  <si>
    <t>151 - Mini-Warehouse</t>
  </si>
  <si>
    <t>154 - High-Cube Transload and Short-Term Storage Warehouse</t>
  </si>
  <si>
    <t>155 - High-Cube Fulfillment Center Warehouse</t>
  </si>
  <si>
    <t>156 - High-Cube Parcel Hub Warehouse</t>
  </si>
  <si>
    <t>157 - High-Cube Cold Storage Warehouse</t>
  </si>
  <si>
    <t>160 - Data Center</t>
  </si>
  <si>
    <t>170 - Utility</t>
  </si>
  <si>
    <t>180 - Specialty Trade Contractor</t>
  </si>
  <si>
    <t>210 - Single-Family Detached Housing</t>
  </si>
  <si>
    <t>215 - Single-Family Attached Housing</t>
  </si>
  <si>
    <t>220 - Multifamily Housing (Low-Rise)</t>
  </si>
  <si>
    <t>221 - Multifamily Housing (Mid-Rise)</t>
  </si>
  <si>
    <t>222 - Multifamily Housing (High-Rise)</t>
  </si>
  <si>
    <t>225 - Off-Campus Student Apartment (Low-Rise)</t>
  </si>
  <si>
    <t>226 - Off-Campus Student Apartment (Mid-Rise)</t>
  </si>
  <si>
    <t>227 - Off-Campus Student Apartment (High-Rise)</t>
  </si>
  <si>
    <t>240 - Mobile Home Park</t>
  </si>
  <si>
    <t>251 - Senior Adult Housing—Single-Family</t>
  </si>
  <si>
    <t>252 - Senior Adult Housing—Multifamily</t>
  </si>
  <si>
    <t>253 - Congregate Care Facility</t>
  </si>
  <si>
    <t>254 - Assisted Living</t>
  </si>
  <si>
    <t>255 - Continuing Care Retirement Community</t>
  </si>
  <si>
    <t>260 - Recreational Homes</t>
  </si>
  <si>
    <t>265 - Timeshare</t>
  </si>
  <si>
    <t>310 - Hotel</t>
  </si>
  <si>
    <t>311 - All Suites Hotel</t>
  </si>
  <si>
    <t>320 - Motel</t>
  </si>
  <si>
    <t>330 - Resort Hotel</t>
  </si>
  <si>
    <t>411 - Public Park</t>
  </si>
  <si>
    <t>416 - Campground/Recreational Vehicle Park</t>
  </si>
  <si>
    <t>430 - Golf Course</t>
  </si>
  <si>
    <t>431 - Miniature Golf Course</t>
  </si>
  <si>
    <t>432 - Golf Driving Range</t>
  </si>
  <si>
    <t>433 - Batting Cages</t>
  </si>
  <si>
    <t>434 - Rock Climbing Gym</t>
  </si>
  <si>
    <t>435 - Multipurpose Recreational Facility</t>
  </si>
  <si>
    <t>436 - Trampoline Park</t>
  </si>
  <si>
    <t>437 - Bowling Alley</t>
  </si>
  <si>
    <t>440 - Adult Cabaret</t>
  </si>
  <si>
    <t>445 - Movie Theater</t>
  </si>
  <si>
    <t>452 - Horse Racetrack</t>
  </si>
  <si>
    <t>453 - Automobile Racetrack</t>
  </si>
  <si>
    <t>454 - Dog Racetrack</t>
  </si>
  <si>
    <t>462 - Professional Baseball Stadium</t>
  </si>
  <si>
    <t>465 - Ice Skating Rink</t>
  </si>
  <si>
    <t>466 - Snow Ski Area</t>
  </si>
  <si>
    <t>470 - Bingo Hall</t>
  </si>
  <si>
    <t>473 - Casino</t>
  </si>
  <si>
    <t>490 - Tennis Courts</t>
  </si>
  <si>
    <t>491 - Racquet/Tennis Club</t>
  </si>
  <si>
    <t>492 - Health/Fitness Club</t>
  </si>
  <si>
    <t>493 - Athletic Club</t>
  </si>
  <si>
    <t>495 - Recreational Community Center</t>
  </si>
  <si>
    <t>501 - Military Base</t>
  </si>
  <si>
    <t>520 - Elementary School</t>
  </si>
  <si>
    <t>522 - Middle School/Junior High School</t>
  </si>
  <si>
    <t>525 - High School</t>
  </si>
  <si>
    <t>528 - School District Office</t>
  </si>
  <si>
    <t>530 - Private School (K-8)</t>
  </si>
  <si>
    <t>532 - Private School (K-12)</t>
  </si>
  <si>
    <t>534 - Private High School</t>
  </si>
  <si>
    <t>536 - Charter Elementary School</t>
  </si>
  <si>
    <t>538 - Charter School (K-12)</t>
  </si>
  <si>
    <t>540 - Junior/Community College</t>
  </si>
  <si>
    <t>550 - University/College</t>
  </si>
  <si>
    <t>560 - Church</t>
  </si>
  <si>
    <t>561 - Synagogue</t>
  </si>
  <si>
    <t>562 - Mosque</t>
  </si>
  <si>
    <t>565 - Day Care Center</t>
  </si>
  <si>
    <t>566 - Cemetery</t>
  </si>
  <si>
    <t>571 - Adult Detention Facility</t>
  </si>
  <si>
    <t>575 - Fire and Rescue Station</t>
  </si>
  <si>
    <t>580 - Museum</t>
  </si>
  <si>
    <t>590 - Library</t>
  </si>
  <si>
    <t>610 - Hospital</t>
  </si>
  <si>
    <t>620 - Nursing Home</t>
  </si>
  <si>
    <t>640 - Animal Hospital/Veterinary Clinic</t>
  </si>
  <si>
    <t>650 - Free-Standing Emergency Room</t>
  </si>
  <si>
    <t>710 - General Office Building</t>
  </si>
  <si>
    <t>712 - Small Office Building</t>
  </si>
  <si>
    <t>714 - Corporate Headquarters Building</t>
  </si>
  <si>
    <t>715 - Single Tenant Office Building</t>
  </si>
  <si>
    <t>720 - Medical-Dental Office Building</t>
  </si>
  <si>
    <t>730 - Government Office Building</t>
  </si>
  <si>
    <t>731 - State Motor Vehicles Department</t>
  </si>
  <si>
    <t>732 - United States Post Office</t>
  </si>
  <si>
    <t>750 - Office Park</t>
  </si>
  <si>
    <t>760 - Research and Development Center</t>
  </si>
  <si>
    <t>770 - Business Park</t>
  </si>
  <si>
    <t>810 - Tractor Supply Store</t>
  </si>
  <si>
    <t>811 - Construction Equipment Rental Store</t>
  </si>
  <si>
    <t>812 - Building Materials and Lumber Store</t>
  </si>
  <si>
    <t>813 - Free-Standing Discount Superstore</t>
  </si>
  <si>
    <t>814 - Variety Store</t>
  </si>
  <si>
    <t>815 - Free-Standing Discount Store</t>
  </si>
  <si>
    <t>816 - Hardware/Paint Store</t>
  </si>
  <si>
    <t>817 - Nursery (Garden Center)</t>
  </si>
  <si>
    <t>820 - Shopping Center (&gt;150k)</t>
  </si>
  <si>
    <t>822 - Strip Retail Plaza (&lt;40k)</t>
  </si>
  <si>
    <t>823 - Factory Outlet Center</t>
  </si>
  <si>
    <t>840 - Automobile Sales (New)</t>
  </si>
  <si>
    <t>841 - Automobile Sales (Used)</t>
  </si>
  <si>
    <t>842 - Recreational Vehicle Sales</t>
  </si>
  <si>
    <t>843 - Automobile Parts Sales</t>
  </si>
  <si>
    <t>848 - Tire Store</t>
  </si>
  <si>
    <t>849 - Tire Superstore</t>
  </si>
  <si>
    <t>850 - Supermarket</t>
  </si>
  <si>
    <t>851 - Convenience Store</t>
  </si>
  <si>
    <t>857 - Discount Club</t>
  </si>
  <si>
    <t>858 - Farmers Market</t>
  </si>
  <si>
    <t>860 - Wholesale Market</t>
  </si>
  <si>
    <t>861 - Sporting Goods Superstore</t>
  </si>
  <si>
    <t>862 - Home Improvement Superstore</t>
  </si>
  <si>
    <t>863 - Electronics Superstore</t>
  </si>
  <si>
    <t>864 - Toy/Children’s Superstore</t>
  </si>
  <si>
    <t>865 - Baby Superstore</t>
  </si>
  <si>
    <t>866 - Pet Supply Superstore</t>
  </si>
  <si>
    <t>867 - Office Supply Superstore</t>
  </si>
  <si>
    <t>868 - Book Superstore</t>
  </si>
  <si>
    <t>869 - Discount Home Furnishing Superstore</t>
  </si>
  <si>
    <t>872 - Bed and Linen Superstore</t>
  </si>
  <si>
    <t>875 - Department Store</t>
  </si>
  <si>
    <t>876 - Apparel Store</t>
  </si>
  <si>
    <t>879 - Arts and Crafts Store</t>
  </si>
  <si>
    <t>880 - Pharmacy/Drugstore without Drive-Through Window</t>
  </si>
  <si>
    <t>881 - Pharmacy/Drugstore with Drive-Through Window</t>
  </si>
  <si>
    <t>895 - Beverage Container Recycling Depot</t>
  </si>
  <si>
    <t>897 - Medical Equipment Store</t>
  </si>
  <si>
    <t>899 - Liquor Store</t>
  </si>
  <si>
    <t>911 - Walk-in Bank</t>
  </si>
  <si>
    <t>912 - Drive-in Bank</t>
  </si>
  <si>
    <t>920 - Copy, Print, and Express Ship Store</t>
  </si>
  <si>
    <t>926 - Food Cart Pod</t>
  </si>
  <si>
    <t>930 - Fast Casual Restaurant</t>
  </si>
  <si>
    <t>931 - Fine Dining Restaurant</t>
  </si>
  <si>
    <t>932 - High-Turnover (Sit-Down) Restaurant</t>
  </si>
  <si>
    <t>933 - Fast-Food Restaurant without Drive-Through Window</t>
  </si>
  <si>
    <t>934 - Fast-Food Restaurant with Drive-Through Window</t>
  </si>
  <si>
    <t>935 - Fast-Food Restaurant with Drive-Through Window and No Indoor Seating</t>
  </si>
  <si>
    <t>936 - Coffee/Donut Shop without Drive-Through Window</t>
  </si>
  <si>
    <t>937 - Coffee/Donut Shop with Drive-Through Window</t>
  </si>
  <si>
    <t>938 - Coffee/Donut Shop with Drive-Through Window and No Indoor Seating</t>
  </si>
  <si>
    <t>941 - Quick Lubrication Vehicle Shop</t>
  </si>
  <si>
    <t>942 - Automobile Care Center</t>
  </si>
  <si>
    <t>943 - Automobile Parts and Service Center</t>
  </si>
  <si>
    <t>944 - Gasoline/Service Station</t>
  </si>
  <si>
    <t>945 - Convenience Store/Gas Station</t>
  </si>
  <si>
    <t>947 - Self-Service Car Wash</t>
  </si>
  <si>
    <t>948 - Automated Car Wash</t>
  </si>
  <si>
    <t>949 - Car Wash and Detail Center</t>
  </si>
  <si>
    <t>970 - Wine Tasting Room</t>
  </si>
  <si>
    <t>971 - Brewery Tap Room</t>
  </si>
  <si>
    <t>975 - Drinking Place</t>
  </si>
  <si>
    <t>Project:</t>
  </si>
  <si>
    <t>Phone:</t>
  </si>
  <si>
    <t>Email:</t>
  </si>
  <si>
    <t>Trips/Day</t>
  </si>
  <si>
    <t xml:space="preserve">NOTE: A TIA determination must be made prior to submittal of any Zoning/Site Plan application; therefore, this completed and reviewed worksheet must accompany any subsequent application for the identical project. Changes to the proposed project may require a new TIA determination. This worksheet will remain valid for six months from the approval date above, after which a new TIA Determination Worksheet may be required. </t>
  </si>
  <si>
    <t>Reviewer:</t>
  </si>
  <si>
    <t>A neighborhood traffic analysis (NTA) is required per LDC 25-6-114. The applicant may have to collect current traffic counts. Please contact the Lead Development Review Engineer.</t>
  </si>
  <si>
    <t>Full TIA</t>
  </si>
  <si>
    <t>A TIA compliance memo is required. The memo must demonstrate compliance of this case with the following TIA. For more information, please refer to the City of Austin TIA Guidelines Section 6.</t>
  </si>
  <si>
    <t>A traffic impact analysis is NOT required. Traffic generated by the proposal does not exceed thresholds established in the City of Austin Land Development Code (LDC). Mitigation per LDC 25-6-101 may still apply.</t>
  </si>
  <si>
    <t>The traffic impact analysis has been waived. See notes below.</t>
  </si>
  <si>
    <t>Category</t>
  </si>
  <si>
    <t>Application Type (Please select only one):</t>
  </si>
  <si>
    <t>TPW-TDS Website</t>
  </si>
  <si>
    <t>TIA Update</t>
  </si>
  <si>
    <t>TA</t>
  </si>
  <si>
    <t>ZTA</t>
  </si>
  <si>
    <t>Please contact Lead Development Review Engineer if you have any questions. Contact information is available at:</t>
  </si>
  <si>
    <t>Tract</t>
  </si>
  <si>
    <t>Acres</t>
  </si>
  <si>
    <t>Pharmacy/Drugstore w/ Drive-Thru</t>
  </si>
  <si>
    <t>Pharmacy/Drugstore w/o Drive-Thru</t>
  </si>
  <si>
    <t>Fast-Food w/o Drive-Thru</t>
  </si>
  <si>
    <t>Fast-Food w/ Drive-Thru</t>
  </si>
  <si>
    <t>Fast-Food w/ Drive-Thru and No Indoor Seating</t>
  </si>
  <si>
    <t>Coffee/Donut w/o Drive-Thru</t>
  </si>
  <si>
    <t>Coffee/Donut w/ Drive-Thru</t>
  </si>
  <si>
    <t>Coffee/Donut w/ Drive-Thru and No Indoor Seating</t>
  </si>
  <si>
    <t>880 -Pharmacy/Drugstore w/o Drive-Thru</t>
  </si>
  <si>
    <t>881 - Pharmacy/Drugstore w/ Drive-Thru</t>
  </si>
  <si>
    <t>933 - Fast-Food w/o Drive-Thru</t>
  </si>
  <si>
    <t>934 - Fast-Food w/ Drive-Thru</t>
  </si>
  <si>
    <t>935 - Fast-Food w/ Drive-Thru and No Indoor Seating</t>
  </si>
  <si>
    <t>936 - Coffee/Donut w/o Drive-Thru</t>
  </si>
  <si>
    <t>937 - Coffee/Donut w/ Drive-Thru</t>
  </si>
  <si>
    <t>938 - Coffee/Donut w/ Drive-Thru and No Indoor Seating</t>
  </si>
  <si>
    <t>I.T.E.</t>
  </si>
  <si>
    <t>Value</t>
  </si>
  <si>
    <t>PUD</t>
  </si>
  <si>
    <t>Site Plan</t>
  </si>
  <si>
    <t>Abut1</t>
  </si>
  <si>
    <t>Abut2</t>
  </si>
  <si>
    <t>Abut3</t>
  </si>
  <si>
    <t>A traffic impact study with TDM is required. TIA scoping is required prior to beginning the study. Please see below for the type of study; for more information on each study, please refer to Section 10 of the TCM.</t>
  </si>
  <si>
    <t xml:space="preserve">A standalone Transportation Demand Management (TDM) plan is required. For more information on the contents required in a TDM Plan, please refer to Section 10 of the Transportation Criteria Manual (TCM). </t>
  </si>
  <si>
    <t>TIA name:</t>
  </si>
  <si>
    <t>Proposed Land Use:</t>
  </si>
  <si>
    <t>Existing Land Use:</t>
  </si>
  <si>
    <t xml:space="preserve"> TPW STAFF USE ONLY</t>
  </si>
  <si>
    <t>TPW STAFF USE ONLY</t>
  </si>
  <si>
    <t>Algorithm in words:</t>
  </si>
  <si>
    <t>TIA: Active if any of the four sub-options are checked</t>
  </si>
  <si>
    <t>Full TIA: Active if override is checked, or if Net Trips are above 5000</t>
  </si>
  <si>
    <t>TDM: Active only if override is checked</t>
  </si>
  <si>
    <t>TIA Not Req'd: Active if override is checked, or if none of the other determinations are checked</t>
  </si>
  <si>
    <t>TIA Update: Active only if override is checked</t>
  </si>
  <si>
    <t>TIA Waived: Active only if override is checked</t>
  </si>
  <si>
    <t>In case of Site Plan Extension, staff will choose an option above (case-by-case)</t>
  </si>
  <si>
    <t>NTA: Active is override is checked, or all of the following are true: Net trips between 300 and 2000, at least one proposed driveway</t>
  </si>
  <si>
    <t>is on Local/Residential Road, and this is not a site plan extension</t>
  </si>
  <si>
    <t>ZTA: Active if override is checked, or if all of the following are true: Net trips above  2000, PUD unchecked,  Zoning Case checked</t>
  </si>
  <si>
    <t>TA:  Active if override is checked, or all of the following are true: Net trips between 2000 and 5000, and ZTA unchecked</t>
  </si>
  <si>
    <t>TIA Compliance: Active if override is checked, or all of the following are true: Existing TIA is checked with name entered, and not a</t>
  </si>
  <si>
    <t xml:space="preserve"> site plan extension</t>
  </si>
  <si>
    <t>Land Use Type</t>
  </si>
  <si>
    <t>Staff  Override / Final Decision</t>
  </si>
  <si>
    <t>weekday pm peak hour x10</t>
  </si>
  <si>
    <t>Saturday peak hour x10</t>
  </si>
  <si>
    <t>Friday pm peak x10</t>
  </si>
  <si>
    <t>T =( 6.98(X) - 7.59)*10</t>
  </si>
  <si>
    <t>T = 35.86(X) + 34.88</t>
  </si>
  <si>
    <t>FCE_LBound</t>
  </si>
  <si>
    <t>FCE_UBound</t>
  </si>
  <si>
    <t>Description</t>
  </si>
  <si>
    <t>An area used for the transfer of people between private vehicles and buses or light rail.</t>
  </si>
  <si>
    <t>It includes transload and short-term high-cube warehouse (HCW) facilities.</t>
  </si>
  <si>
    <t>Rate/FCE</t>
  </si>
  <si>
    <t>Site Plan Extension</t>
  </si>
  <si>
    <t>Dev. Assessment</t>
  </si>
  <si>
    <t>Concept Site Plan</t>
  </si>
  <si>
    <t>Location Jurisdiction:</t>
  </si>
  <si>
    <t>Full Purpose</t>
  </si>
  <si>
    <t>Limited Purpose</t>
  </si>
  <si>
    <t>ETJ</t>
  </si>
  <si>
    <t>A discount store with a full-service grocery department.</t>
  </si>
  <si>
    <t>A discount store without a full-service grocery department.</t>
  </si>
  <si>
    <t>Worksheet Instructions</t>
  </si>
  <si>
    <t>N/A (Existing)</t>
  </si>
  <si>
    <t>A facility that provides limited diagnostic and outpatient care but not prolonged in-house medical and surgical care. A clinic may have a lab facility and supporting pharmacy. A clinic typically offers a wide range of services which makes it distinct from a medical office building that typically houses specialized or individual physicians.</t>
  </si>
  <si>
    <t>An institution where medical or surgical care and overnight accommodations are provided to non-ambulatory and ambulatory patients. In this context, the term “hospital” does not refer to a medical clinic (a facility that provides diagnoses and outpatient care only) or a nursing home (a facility devoted to the care of persons unable to care for themselves), which are covered elsewhere.</t>
  </si>
  <si>
    <t>Commercial passenger service with long runways for serving large jets and extensive terminal facilities.</t>
  </si>
  <si>
    <t>A facility where goods are transferred between trucks, between trucks and railroads, or between trucks and ports.</t>
  </si>
  <si>
    <t>A free-standing facility devoted to a single light industrial activity, e.g.,  printing, material testing, but not for manufacturing.</t>
  </si>
  <si>
    <t>Contains a mix of several individual industrial facilities.</t>
  </si>
  <si>
    <t>An area where the primary activity is the conversion of raw materials or parts into finished products.</t>
  </si>
  <si>
    <t>Primarily devoted to the storage of materials.</t>
  </si>
  <si>
    <t>A building in which a number of storage units or vaults are rented for the storage of goods such as self-storage facilities.</t>
  </si>
  <si>
    <t>It includes fulfillment center (either a sort or non-sort) type high-cube warehouse (HCW).</t>
  </si>
  <si>
    <t>Public park owned and operated by municipal, county, state, or federal agency.</t>
  </si>
  <si>
    <t>Recreational park that accommodates campers, trailers, tents, and RVs on a transient basis.</t>
  </si>
  <si>
    <t>Typically serves as a regional and local freight-forwarder facility for time sensitive shipments via airfreight and ground carriers.</t>
  </si>
  <si>
    <t>Has substantial temperature-controlled environments for frozen food and other perishable products.</t>
  </si>
  <si>
    <t>A free-standing warehouse type of facility that is primarily used for off-site storage of computer systems and associated components including applications and secure data.</t>
  </si>
  <si>
    <t>A free-standing building that houses electromechanical or industrial equipment that support a local electrical, communication, water supply or control, or sewage treatment utility.</t>
  </si>
  <si>
    <t>A business primarily involved in providing contract repairs and services to meet industrial or residential need such as plumbing, heating and cooling, machine repair, etc.</t>
  </si>
  <si>
    <t>Includes any single-family detached home on an individual lot.</t>
  </si>
  <si>
    <t>Includes any single-family housing unit that shares a wall with an adjoining dwelling unit.</t>
  </si>
  <si>
    <t>Includes apartments, townhouses, and condominiums. Each building has more than 10 floors of living space.</t>
  </si>
  <si>
    <t>Houses college or university students in structures with more than 10 floors of living space.</t>
  </si>
  <si>
    <t>Includes apartments and condominiums located in a building that has between 4 and 10 floors of living space.</t>
  </si>
  <si>
    <t>Houses college or university students in structures with 2 or 3 floors of living space.</t>
  </si>
  <si>
    <t xml:space="preserve">Houses college or university students in structures with between 4 and 10 floors of living space. </t>
  </si>
  <si>
    <t>Includes apartments, townhouses, and condominiums located within the same building with at least 3 other dwelling units and that have 2 or 3 floors.</t>
  </si>
  <si>
    <t>Generally consists of manufactured homes that are sited and installed on permanent foundations.</t>
  </si>
  <si>
    <t>Independent living developments, typically a minimum of 55 years of age restrictions.</t>
  </si>
  <si>
    <t xml:space="preserve">Independent living developments, typically with a minimum of 55 years of age restriction. </t>
  </si>
  <si>
    <t>Independent living development that provides centralized amenities such as dining, housekeeping, communal transportation, and organized social/recreational activities.</t>
  </si>
  <si>
    <t>Residential setting for persons with mental or physical limitations.</t>
  </si>
  <si>
    <t>Provides multiple elements of senior adult living. A CCRC is usually a self-contained village.</t>
  </si>
  <si>
    <t>Either a second home used by its owner periodically for recreation or rented on a seasonal basis.</t>
  </si>
  <si>
    <t>Development where multiple purchasers buy interests in the same property and each purchaser receives the right to use the facility for a period of time each year.</t>
  </si>
  <si>
    <t>A place of lodging that provides sleeping accommodations and supporting facilities.</t>
  </si>
  <si>
    <t>A place of lodging that provides sleeping accommodations, each suite includes a sitting room and separate bedroom.</t>
  </si>
  <si>
    <t>A place of lodging that provides sleeping accommodations and little or no meeting space. Exterior corridors accessing rooms (immediately adjacent to a parking lot) are common for a motel.</t>
  </si>
  <si>
    <t>Caters to the tourist and vacation industry, often providing a wide variety of recreational facilities/programs (e.g., golf courses, tennis courts, beach access, or other amenities).</t>
  </si>
  <si>
    <t>An expansive landscaped area that includes a series of golf holes, each consisting of a tee, fairway, and putting green.</t>
  </si>
  <si>
    <t xml:space="preserve">Consists of one or more individual putting courses. This is a stand-alone facility and is not part of a larger multipurpose entertainment or recreational facility. </t>
  </si>
  <si>
    <t>An outdoor facility that contains driving tees for golfers to practice. A driving range affiliated with full-sized golf course is included in Golf Course (430).</t>
  </si>
  <si>
    <t xml:space="preserve">An area for batting practice that is enclosed by fencing or netting. This is a stand-alone facility and is not part of a larger multipurpose entertainment or recreational facility. </t>
  </si>
  <si>
    <t xml:space="preserve">A recreational facility that houses artificial rock walls for the purpose of teaching and training individuals of all ages to climb. </t>
  </si>
  <si>
    <t>A facility that contains two or more of the following land uses combined at one site: miniature golf, batting cages, video arcade, bumper boats, go-carts, and golf driving range.</t>
  </si>
  <si>
    <t>A recreational facility that houses wall-to-wall trampolines and other facilities such as climbing walls, gymnastics tumble tracks, inflatable basketball, dodge ball facilities, foam pits, and warrior courses.</t>
  </si>
  <si>
    <t>A recreational facility that includes bowling lanes. A small lounge, restaurant and/or snack bar, video games, and pool tables may also be available.</t>
  </si>
  <si>
    <t>A nightclub with partially-clothed or non-clothed live dancers (also known as an exotic dance club).</t>
  </si>
  <si>
    <t>A place where movies are screened for public entertainment. A theater includes a lobby, refreshment area, and audience seating for each movie screen. A theater can be stand-alone or part of a larger retail complex.</t>
  </si>
  <si>
    <t>A facility that is built for the racing of horses.</t>
  </si>
  <si>
    <t>A facility that contains a racetrack, spectator seating, parking, and restaurant/refreshment areas.</t>
  </si>
  <si>
    <t>A facility that is built for the racing of dogs.</t>
  </si>
  <si>
    <t>A facility in which professional baseball is played.</t>
  </si>
  <si>
    <t>A stand-alone facility used for ice-skating-oriented sports and entertainment  activities.</t>
  </si>
  <si>
    <t xml:space="preserve">Typically includes chair lifts, ski runs, and a lodge facility. </t>
  </si>
  <si>
    <t xml:space="preserve">A facility generally owned by a commercial company or religious organization in which bingo is played by groups of people. </t>
  </si>
  <si>
    <t>A facility that exists for the primary purpose of deriving revenue from gaming operations. The games conducted at these facilities include but are not limited to table games, electronic slot machines, video poker and lottery games, and electronic table games.</t>
  </si>
  <si>
    <t>Contains water slides, wading pools, and refreshment stands. Some water slide parks may include picnic areas.</t>
  </si>
  <si>
    <t>An outdoor facility that is used for non-professional soccer games. It may consist of multiple fields.</t>
  </si>
  <si>
    <t>Indoor or outdoor facilities specifically designed for playing tennis and do not typically include any ancillary facilities other than limited spectator seating.</t>
  </si>
  <si>
    <t>A privately-owned facility that primarily caters to racquet sports (tennis, racquetball, pickle ball, handball, squash) both indoor and outdoor. This land use may also provide ancillary facilities, such as a whirlpool, sauna, spa, weight room, snack bar, or retail store.</t>
  </si>
  <si>
    <t>A privately-owned facility that primarily focuses on individual fitness or training.</t>
  </si>
  <si>
    <t>A privately-owned facility that offers comprehensive athletic facilities.</t>
  </si>
  <si>
    <t>A stand-alone public facility similar to and including YMCAs. These facilities often include classes and clubs for adults and children, a day care or nursery school, meeting rooms and other social facilities. A membership fee may be charged.</t>
  </si>
  <si>
    <t>A complex that serves one division of the armed forces of the United States. It typically contains offices and training, housing, dining, and recreational facilities.</t>
  </si>
  <si>
    <t xml:space="preserve">A public school that typically serves students attending kindergarten through the fifth or sixth grade. </t>
  </si>
  <si>
    <t>A public school that serves students who have completed elementary school and have not yet entered high school.</t>
  </si>
  <si>
    <t xml:space="preserve">A public school that serves students who have completed middle or junior high school. </t>
  </si>
  <si>
    <t>An administrative office building that provides services and support to parents, students, and the community. A school district office typically offers centralized services for multiple schools in a district including staff training, purchasing, technology services, strategic planning, public information, student transportation, and student assessments.</t>
  </si>
  <si>
    <t>Serves students attending kindergarten through the eighth grade. The school may also offer pre-kindergarten classes and extended care and day care.</t>
  </si>
  <si>
    <t xml:space="preserve">Serves students attending kindergarten through the 12th grade. The school may also offer pre-kindergarten classes and extended care and day care. </t>
  </si>
  <si>
    <t>Serves students who have completed middle school, junior high school, or an elementary school that takes students through 8th grade.</t>
  </si>
  <si>
    <t xml:space="preserve">An elementary school that is publicly funded and privately managed. The school serves students attending kindergarten through the fifth, sixth, or eighth grade. The school may also offer extended care and day care. </t>
  </si>
  <si>
    <t>A school that is publicly funded and privately managed. The school serves students attending kindergarten through the 12th grade. The school may also offer extended care and day care.</t>
  </si>
  <si>
    <t>Includes 2-year junior, community, and technical colleges. A junior/community college may have a sizeable evening program.</t>
  </si>
  <si>
    <t xml:space="preserve">Includes 4-year universities or colleges that may or may not offer graduate programs. </t>
  </si>
  <si>
    <t>A building in which public worship services are held.</t>
  </si>
  <si>
    <t>A facility where care for pre-school age children is provided, normally during daytime hours. A day care facility generally includes classrooms, offices, eating areas, and playgrounds. A center may also provide after-school care for school-age children.</t>
  </si>
  <si>
    <t>A place for burying the deceased, possibly including buildings used for funeral services, a mausoleum, and a crematorium.</t>
  </si>
  <si>
    <t>A facility in which a person is confined either for a short-term stay while awaiting trial (in a jail) or for a long-term stay while serving a sentence resulting from a conviction (in a prison). An adult detention facility usually consists of cells, dining and food preparation facilities, limited recreational facilities, work areas, and offices.</t>
  </si>
  <si>
    <t>A building that houses emergency services equipment, firefighting apparatus, and the individuals that provide emergency firefighting services.</t>
  </si>
  <si>
    <t xml:space="preserve">A facility that includes displays, shows, exhibits, and/or demonstration of historical, science, nature, art, entertainment, or other cultural significance. </t>
  </si>
  <si>
    <t>A facility that houses shelved books and reading rooms or areas. A library may also provide meeting rooms.</t>
  </si>
  <si>
    <t>A facility that specializes in the medical care and treatment of animals.</t>
  </si>
  <si>
    <t>A facility that specializes in personal medical care and treatment of people. These facilities are structurally separate and distinct from a hospital and provide emergency care for potentially life-threatening conditions. They are typically open 24 hours a day, 7 days a week, 365 days per year.</t>
  </si>
  <si>
    <t>A location (with more than 10,000 square feet of gross floor area) where affairs of businesses, commercial or industrial organizations, or professional persons or firms are conducted. An office building houses multiple tenants.</t>
  </si>
  <si>
    <t>The same as a general office building (710) but with less than or equal to 10,000 square feet of gross floor area.</t>
  </si>
  <si>
    <t>A single tenant office building that houses the corporate headquarters of a company or organization. The building generally consists of offices, meeting rooms, space for file storage and data processing, a restaurant or cafeteria and other service functions.</t>
  </si>
  <si>
    <t>Generally contains offices, meeting rooms, and space for file storage and data processing of a single business or company and possibly other service functions including a cafeteria.</t>
  </si>
  <si>
    <t>A facility that provides diagnoses and outpatient care on a routine basis but is unable to provide prolonged in-house medical and surgical care. One or more private physicians or dentists generally operate this type of facility.</t>
  </si>
  <si>
    <t>An individual building containing either the entire function or simply one agency of a city, county, state, federal, or other governmental unit.</t>
  </si>
  <si>
    <t>An office-type building where driver license testing, vehicle registration, and other related functions are administered.</t>
  </si>
  <si>
    <t>A federal building that contains service windows for mailing packages and letters, post office boxes, offices, sorting and distributing facilities for mail, and vehicle storage areas.</t>
  </si>
  <si>
    <t>Typically a suburban subdivision, arranged in a park or campus-like atmosphere, that contains general office buildings and support services.</t>
  </si>
  <si>
    <t>A facility or group of facilities devoted almost exclusively to research and development activities. The range of specific types of businesses contained in this land use category varies significantly.</t>
  </si>
  <si>
    <t>Consists of a group of flex-type or incubator one- or two-story buildings served by a common roadway system. The tenant space is flexible and lends itself to a variety of uses. Tenants may be start-up companies that require a variety of space.</t>
  </si>
  <si>
    <t>A free-standing facility that specializes in the sale of agricultural and garden equipment, power tools, vehicle maintenance parts, and heavy-duty outdoor machinery.</t>
  </si>
  <si>
    <t>A business that specializes in the rental of construction equipment tools and supplies including, but not limited to, electrical and industrial tools, pumps, lawn and garden equipment, paving and earthmoving equipment, and safety equipment.</t>
  </si>
  <si>
    <t>A free-standing building that sells hardware, building materials, and lumber.</t>
  </si>
  <si>
    <t>A retail store that sells a broad range of inexpensive items often at a uniform price, commonly referred to as a “dollar store.”</t>
  </si>
  <si>
    <t>A free-standing building that sells hardware and paint supplies.</t>
  </si>
  <si>
    <t>A free-standing building with an outside storage area for planting or landscape stock, primarily serving the general public.</t>
  </si>
  <si>
    <t>An integrated group of commercial establishments of more than 150,000 square feet of gross floor area that is planned, developed, owned, and managed as a unit.</t>
  </si>
  <si>
    <t>An integrated group of commercial establishments of less than 40,000 square feet of gross floor area that is planned, developed, owned, and managed as a unit.</t>
  </si>
  <si>
    <t>A shopping center that primarily houses factory outlet stores, attracting customers from a wide geographic area, very often from a larger area than a regional shopping center.</t>
  </si>
  <si>
    <t>Typically located along a major arterial street characterized by abundant commercial development; the sale or lease of new cars is the primary business at these facilities.</t>
  </si>
  <si>
    <t>Typically located along a major arterial street characterized by abundant commercial development; the sale or lease of used cars is the primary business at these facilities.</t>
  </si>
  <si>
    <t>A free-standing facility that specializes in the sales of new RVs.</t>
  </si>
  <si>
    <t>A facility that specializes in the sale of automobile parts for maintenance and repair.</t>
  </si>
  <si>
    <t>The primary business is the sale of tires for automotive vehicles.</t>
  </si>
  <si>
    <t>A warehouse-like facility with the primary function of selling and installing tires for automobiles and small trucks.</t>
  </si>
  <si>
    <t>A free-standing retail store that sells a complete assortment of food, beverage, food preparation materials, and household products.</t>
  </si>
  <si>
    <t>A small retail business that sells grocery and other everyday items that a person may need or want as a matter of convenience.</t>
  </si>
  <si>
    <t>A discount store or warehouse where shoppers pay a membership fee in order to take advantage of discounted prices on a wide variety of items such as food, beverages, household items, clothing, tires, and appliances.</t>
  </si>
  <si>
    <t>A food market at which local farmers sell fruit, vegetables, or other food products such as meat, cheese, and baked goods directly to consumers.</t>
  </si>
  <si>
    <t>Generally includes large storage and distribution areas for receiving goods and shipping these goods to places such as grocery stores and restaurants.</t>
  </si>
  <si>
    <t>A free-standing facility that specializes in the sale of athletic and outdoor-oriented merchandise.</t>
  </si>
  <si>
    <t>A free-standing facility that specializes in the sale of home improvement merchandise.</t>
  </si>
  <si>
    <t>A free-standing facility that specializes in the sale of electronic merchandise.</t>
  </si>
  <si>
    <t>A free-standing facility that specializes in the sale of child-oriented merchandise.</t>
  </si>
  <si>
    <t>A free-standing facility that specializes in the sale of juvenile merchandise.</t>
  </si>
  <si>
    <t>A free-standing facility that specializes in the sale of pets and pet supplies, food, and accessories.</t>
  </si>
  <si>
    <t>A free-standing facility that specializes in the sale of office equipment and supplies including computers, paper, furniture, and desk accessories.</t>
  </si>
  <si>
    <t>A free-standing facility that specializes in the sale of books.</t>
  </si>
  <si>
    <t>A free-standing facility that sells an extensive variety of home furnishings and accessories, which typically has showrooms that display products, many of which require assembly.</t>
  </si>
  <si>
    <t>A free-standing facility that specializes in the sale of bedding and bath merchandise, home textiles, home accessories, home furnishings, kitchenware, and luggage.</t>
  </si>
  <si>
    <t>A free-standing facility that specializes in the sale of a wide range of products including apparel, footwear, home products, bedding and linens, luggage, jewelry, and accessories.</t>
  </si>
  <si>
    <t>An individual store specializing in the sale of clothing.</t>
  </si>
  <si>
    <t>A free-standing facility that sells art, framing, wall décor, and seasonal merchandise.</t>
  </si>
  <si>
    <t xml:space="preserve">A retail facility that primarily sells prescription and non-prescription drugs. </t>
  </si>
  <si>
    <t>A retail facility that primarily sells prescription and non-prescription drugs. The pharmacy/drugstores in this category have a drive-through window.</t>
  </si>
  <si>
    <t>A stand-alone facility where cannabis is sold to patients or retail consumers in a legal manner.</t>
  </si>
  <si>
    <t>A full-service retail facility that specializes in the sale of furniture and often carpeting.</t>
  </si>
  <si>
    <t>A facility designed and operated for receiving and temporarily storing recyclable beverage containers.</t>
  </si>
  <si>
    <t>A free-standing building that specializes in the sale of medical equipment, such as hospital beds, physical therapy equipment, and rehabilitation equipment.</t>
  </si>
  <si>
    <t>Specializes in the sale of prepackaged alcoholic beverages intended to be consumed off the store’s premises.</t>
  </si>
  <si>
    <t>A financial institution that can offer a wide variety of financial services. A walk-in bank does not have drive-in lanes but typically has a non-drive-through automatic teller machine (ATM).</t>
  </si>
  <si>
    <t>A financial institution that provides banking services for a motorist through a teller station, and it may also serve patrons who walk into the building.</t>
  </si>
  <si>
    <t>A facility that specializes in cosmetic and beauty services including hair cutting and styling, skin and nail care, and massage therapy.</t>
  </si>
  <si>
    <t>A facility that offers a variety of copying, printing, binding, and shipping services.</t>
  </si>
  <si>
    <t>A group of food carts or food trucks congregated in an established location, such as a parking lot, on a semi-permanent or regular basis.</t>
  </si>
  <si>
    <t>A sit-down restaurant with no (or very limited) wait staff or table service. A customer typically orders off a menu board, pays for food before the food is prepared, and seats themselves.</t>
  </si>
  <si>
    <t>A full-service eating establishment with a typical duration of stay of at least 1 hour. This type of restaurant often requests and sometimes requires a reservation and is generally not part of a chain.</t>
  </si>
  <si>
    <t>A sit-down, full-service eating establishment with a typical duration of stay of 60 minutes or less. This type of restaurant is usually moderately priced, frequently belongs to a restaurant chain, and is commonly referred to as casual dining.</t>
  </si>
  <si>
    <t>Includes any fast-food restaurant without a drive-through window.</t>
  </si>
  <si>
    <t>Includes any fast-food restaurant with a drive-through window.</t>
  </si>
  <si>
    <t>Includes any fast-food restaurant that provides drive-through service only.</t>
  </si>
  <si>
    <t>Includes any coffee and donut restaurant that does not have a drive-through window. The restaurant sells freshly brewed coffee (along with coffee-related accessories) and a variety of food/drink products such as donuts, bagels, breads, muffins, cakes, sandwiches, wraps, salads, and other hot and cold beverages.</t>
  </si>
  <si>
    <t>Includes any coffee and donut restaurant that has only drive-through window service. A patron cannot walk into the shop and purchase items. The restaurant sells freshly brewed coffee (along with coffee-related accessories) and a variety of food/drink products such as donuts, bagels, breads, muffins, cakes, sandwiches, wraps, salads, and other hot and cold beverages.</t>
  </si>
  <si>
    <t>A business where the primary activity is to perform oil change services for motor vehicles.</t>
  </si>
  <si>
    <t>Houses numerous businesses that provide automobile-related services, such as repair and servicing, stereo installation, and seat cover upholstering.</t>
  </si>
  <si>
    <t>Sells automobile parts for do-it-yourself maintenance and repair including tires, batteries, oil, and sparks plugs.</t>
  </si>
  <si>
    <t>Includes gasoline/service stations where the primary business is the fueling of motor vehicles. The sites included generally have a small building (less than 2,000 gross square feet) that houses a cashier and limited space for motor vehicle maintenance supplies and general convenience products.</t>
  </si>
  <si>
    <t>A facility with a co-located convenience store and gas station. The convenience store sells grocery and other everyday items that a person may need or want as a matter of convenience. The gas station sells automotive fuels such as gasoline and diesel.</t>
  </si>
  <si>
    <t>Allows manual cleaning of vehicles by providing stalls for a motorist to park and wash a vehicle.</t>
  </si>
  <si>
    <t>A facility that allows for the mechanical cleaning of the exterior of vehicles.</t>
  </si>
  <si>
    <t>A facility that provides for the manual cleaning of the exterior of vehicles as well as interior car-detailing services.</t>
  </si>
  <si>
    <t>A designated area found in conjunction with a winery in which customers can try samples of a winery’s products.</t>
  </si>
  <si>
    <t>A designated area found in conjunction with a brewery in which customers can try samples of a brewery’s products.</t>
  </si>
  <si>
    <t>Contains a bar, where alcoholic beverages and food are sold, and possibly some type of entertainment, such as music, television screens, video games, or pool tables. Establishments that specialize in serving food but also have bars are not included in this land use.</t>
  </si>
  <si>
    <t>4. Please select the type of Application (select just one of the checkboxes).</t>
  </si>
  <si>
    <t>5. Check the box to acknowledge SIF applicability for the development. More information about the SIF program can be found at https://www.austintexas.gov/department/street-impact-fee.</t>
  </si>
  <si>
    <t>6. Provide a general description of the existing land uses and proposed land uses. Example 1: "Existing is medical office, proposed is a fine dining restaurant". Example 2: "Existing is vacant, proposed multifamily residential with 350 units".</t>
  </si>
  <si>
    <t>8. Based on your input for Land Use Type and Land Use, the units will auto-populate. Fill in the value with the appropriate intensity.</t>
  </si>
  <si>
    <t>Vacant</t>
  </si>
  <si>
    <t>Port_and_Terminal_000s</t>
  </si>
  <si>
    <t>Industrial_100s</t>
  </si>
  <si>
    <t>Residential_200s</t>
  </si>
  <si>
    <t>Lodging_300s</t>
  </si>
  <si>
    <t>Recreational_400s</t>
  </si>
  <si>
    <t>Institutional_500s</t>
  </si>
  <si>
    <t>Medical_600s</t>
  </si>
  <si>
    <t>Office_700s</t>
  </si>
  <si>
    <t>Retail_800s</t>
  </si>
  <si>
    <t>Services_900s</t>
  </si>
  <si>
    <t>Note: you can use the desktop version of this worksheet or using Excel for the Web. If using the desktop version of the file, fill it out and send to TPW. If using the web version, fill it out, download it to your system, then send it to TPW. This spreadsheet may not work as intended in any other method.</t>
  </si>
  <si>
    <t xml:space="preserve">Applicant must complete this worksheet except where noted for TPW Staff. Please submit completed worksheet to the TIA Determination Worksheet portal (https://atd.knack.com/development-services#services/traffic-impact-analysis-determination/) for review and signature. </t>
  </si>
  <si>
    <t>Units</t>
  </si>
  <si>
    <t>Land Use (Select Type First)</t>
  </si>
  <si>
    <t>Approved TIA?</t>
  </si>
  <si>
    <t>Approved PUD?</t>
  </si>
  <si>
    <t>Approved PUD name:</t>
  </si>
  <si>
    <t>Source</t>
  </si>
  <si>
    <t>Applicant/Consultant:</t>
  </si>
  <si>
    <t>If none of the land use options in the spreadsheet work, please contact Lead Development Review Engineer for next steps. Please note that using custom uses may significantly increase review time.</t>
  </si>
  <si>
    <t>Use of custom land uses may also require data collection and analysis conducted by a licensed professional engineer in Texas before final determination</t>
  </si>
  <si>
    <t>ITE</t>
  </si>
  <si>
    <t>Date worksheet last updated:</t>
  </si>
  <si>
    <t>ITE Edition used:</t>
  </si>
  <si>
    <t>1. Fill in all of the yellow fields in the TDW tab which are applicable to the development.</t>
  </si>
  <si>
    <t>2. If the development is part of an approved PUD, check the Approved PUD box and provide the name of the PUD.</t>
  </si>
  <si>
    <t>3. If the development is part of an approved TIA Analysis, check the Approved TIA box and provide the name of the TIA.</t>
  </si>
  <si>
    <t>Abut4</t>
  </si>
  <si>
    <t>9. If none of the provided land use options fit your needs, consider picking something that is "close enough". If that does not work, use the red cells to input custom land uses. Please contact the Lead Review Engineer for the pertinent area. Note that custom land uses may increase review time significantly, and may require data collection/analysis.</t>
  </si>
  <si>
    <t>10. Enter information about the abutting roadways and driveways. The ASMP Street Network Map is available to the public online - https://www.austintexas.gov/department/austin-strategic-mobility-plan.</t>
  </si>
  <si>
    <t>7. In the existing and proposed land uses section, please first select a Land Use Type (general category), and then the Land Use dropdowns will populate. For help in choosing Land Use, please go to the Land Uses tab to read the options and a brief description of each. If you need more land use rows, clik the button on the top right - only on the desktop version</t>
  </si>
  <si>
    <t>Please submit completed spreadsheet to TPW through KNACK (link at top of sheet). If you used Excel for the Web, please download and submit.</t>
  </si>
  <si>
    <t>1,000 SF GFA</t>
  </si>
  <si>
    <t>1,000 SF GFA </t>
  </si>
  <si>
    <t>I, the applicant, acknowledge this development is subject to the Street Impact Fee program.</t>
  </si>
  <si>
    <t>Reviewer Section</t>
  </si>
  <si>
    <t>12th</t>
  </si>
  <si>
    <t>030 - Intermodal Truck Terminal</t>
  </si>
  <si>
    <t>Intermodal Truck Terminal</t>
  </si>
  <si>
    <t>035 - Truck and Trailer Parking</t>
  </si>
  <si>
    <t>414 - Dog Park</t>
  </si>
  <si>
    <t>Truck and Trailer Parking</t>
  </si>
  <si>
    <t>035</t>
  </si>
  <si>
    <t>312 - Limited-Service Hotel</t>
  </si>
  <si>
    <t>630 - Walk-In Clinic</t>
  </si>
  <si>
    <t>918 - Hair Salon/Spa</t>
  </si>
  <si>
    <t>An area used for parking or storing trucks, tractors, trailers, or shipping containers, intended for long-term storage rather than frequent loading or unloading operations. Does not proide commercial vehicle fueling, maintenance, a convenience market, a fast-food restaurant, or other services specific to the needs of truckers.</t>
  </si>
  <si>
    <t>150 - Warehouse</t>
  </si>
  <si>
    <t>929 - High-Volume Fast-Food Restaurant</t>
  </si>
  <si>
    <t>T = 2.04(X) + 808.48</t>
  </si>
  <si>
    <t>Ln(T) = 0.68Ln(X) + 2.81</t>
  </si>
  <si>
    <t>Warehouse</t>
  </si>
  <si>
    <t>T = 1.56(X) - 97.97</t>
  </si>
  <si>
    <t>821 - Shopping Plaza (40-150k) w/ Supermarket</t>
  </si>
  <si>
    <t>539 - Charter High School</t>
  </si>
  <si>
    <t>821 - Shopping Plaza (40-150k) w/o Supermarket</t>
  </si>
  <si>
    <t>T = 2.41(X) - 568.85</t>
  </si>
  <si>
    <t>175 - Industrial Recycling Facility</t>
  </si>
  <si>
    <t>T = 2.86(X) - 354.32</t>
  </si>
  <si>
    <t>190 - Cannabis Cultivation and Processing Facility</t>
  </si>
  <si>
    <t>Ln(T) = 0.71Ln(X) + 1.51</t>
  </si>
  <si>
    <t>Industrial Recycling Facility</t>
  </si>
  <si>
    <t>175</t>
  </si>
  <si>
    <t>A free-standing facility used for recycling construction and demolition materials.</t>
  </si>
  <si>
    <t>Cannabis Cultivation and Processing Facility</t>
  </si>
  <si>
    <t>weekday pm x10; collect local data</t>
  </si>
  <si>
    <t>A free-standing facility where cannabis is propagated, planted, grown, harvested, dried, cured, graded, labeled, tagged for tracking, or trimmed.</t>
  </si>
  <si>
    <t>T = 8.07(X) + 265.45</t>
  </si>
  <si>
    <t>T = 6.53(X) + 3.25</t>
  </si>
  <si>
    <t>482 - Waterslide Park</t>
  </si>
  <si>
    <t>T = 5.63(X) + 120.45</t>
  </si>
  <si>
    <t>488 - Soccer Field</t>
  </si>
  <si>
    <t>T = 4.55(X) - 17.52</t>
  </si>
  <si>
    <t>489 - Pickleball Courts</t>
  </si>
  <si>
    <t>950 - Travel Center</t>
  </si>
  <si>
    <t>weekday pm x10</t>
  </si>
  <si>
    <t>960 - Rental Car Facility</t>
  </si>
  <si>
    <t>494 - Boutique Fitness Studio</t>
  </si>
  <si>
    <t>Ln(T) = 0.83Ln(X) + 2.85</t>
  </si>
  <si>
    <t>Ln(T) = 0.80Ln(X) + 2.71</t>
  </si>
  <si>
    <t>T = 2.97(X) + 23.07</t>
  </si>
  <si>
    <t>T = 2.08(X) + 580.32</t>
  </si>
  <si>
    <t>Ln(T) = 0.96(X) + 1.57</t>
  </si>
  <si>
    <t>T = 9.48(X) + 38.04</t>
  </si>
  <si>
    <t>882 - Cannabis Dispensary</t>
  </si>
  <si>
    <t>890 - Furniture/Flooring Store</t>
  </si>
  <si>
    <t>Limited-Service Hotel</t>
  </si>
  <si>
    <t>A place of lodging that provides overnight accommodation and other limited facilities, such as a swimming pool or fitness room. Does not have a doorman, bellhop, or concierge; has little or no meeting room space; and does not have a full-service restaurant.</t>
  </si>
  <si>
    <t>Dog Park</t>
  </si>
  <si>
    <t>414</t>
  </si>
  <si>
    <t>A designated public or private recreational area where dogs can exercise and play off-leash. The park may be a stand-alone facility or part of a larger public park.</t>
  </si>
  <si>
    <t>Campsites</t>
  </si>
  <si>
    <t>weekday pm peak hour x10; collect local data</t>
  </si>
  <si>
    <t>Ln(T) = 0.96 Ln(X) + 1.38 *10</t>
  </si>
  <si>
    <t>Friday pm peak hour x10; collect local data</t>
  </si>
  <si>
    <t>Waterslide Park</t>
  </si>
  <si>
    <t>Soccer Field</t>
  </si>
  <si>
    <t>Pickleball Courts</t>
  </si>
  <si>
    <t>489</t>
  </si>
  <si>
    <t>Courts</t>
  </si>
  <si>
    <t>Indoor or outdoor facilities specifically designed for playing pickleball.</t>
  </si>
  <si>
    <t>Boutique Fitness Studio</t>
  </si>
  <si>
    <t>494</t>
  </si>
  <si>
    <t>A small-scale, privately-owned facility that primarily focuses on individual fitness or training. It typically provides group exercise classes in a focused, high-intensity, or low-impact environment, with the use of specialized fitness equipment.</t>
  </si>
  <si>
    <t>Ln(T) = 0.97Ln(X) + 0.97</t>
  </si>
  <si>
    <t>T = 14.72(X) - 6.60</t>
  </si>
  <si>
    <t>T = (0.82(X) - 225.96)*10</t>
  </si>
  <si>
    <t>Charter High School</t>
  </si>
  <si>
    <t>539</t>
  </si>
  <si>
    <t>A high school that is publicly funded and privately managed.</t>
  </si>
  <si>
    <t>T = 1.42(X) + 454.20</t>
  </si>
  <si>
    <t>Beds</t>
  </si>
  <si>
    <t>T = 4.60(X) + 4385.42</t>
  </si>
  <si>
    <t>A facility whose primary function is to provide care for persons who are unable to care for themselves. Examples include rest homes, chronic care, and convalescent homes. Residents often require treatment from a healthcare professional for ongoing medical issues. A resident is not capable of operating a vehicle. Traffic is entirely generated by employees, visitors, and deliveries.</t>
  </si>
  <si>
    <t>Walk-In Clinic</t>
  </si>
  <si>
    <t>T = 6.18(X) + 207.96</t>
  </si>
  <si>
    <t>T = 40.60(X) - 75.15</t>
  </si>
  <si>
    <t>T = 1.40(X) - 251.41</t>
  </si>
  <si>
    <t>T = 9.97(X) + 0.84</t>
  </si>
  <si>
    <t>Shopping Plaza (40-150k) - w/ Supermarket</t>
  </si>
  <si>
    <t>T = 136.41(X) - 2680.46</t>
  </si>
  <si>
    <t>An integrated group of commercial establishments between 40,000 and 150,000 square feet of gross floor area that is planned, developed, owned, and managed as a unit. Contains Supermarket.</t>
  </si>
  <si>
    <t>Shopping Plaza (40-150k) - w/o Supermarket</t>
  </si>
  <si>
    <t>An integrated group of commercial establishments between 40,000 and 150,000 square feet of gross floor area that is planned, developed, owned, and managed as a unit. Does not contain Supermarket.</t>
  </si>
  <si>
    <t>T = 85.95(X) + 336.45</t>
  </si>
  <si>
    <t>T = 1042.07(X) - 1227.13</t>
  </si>
  <si>
    <t>Ln(T) = 0.73 Ln(X) + 5.33</t>
  </si>
  <si>
    <t>Cannabis Dispensary</t>
  </si>
  <si>
    <t>Furniture/Flooring Store</t>
  </si>
  <si>
    <t>Hair Salon/Spa</t>
  </si>
  <si>
    <t>High-Volume Fast-Food Restaurant</t>
  </si>
  <si>
    <t>929</t>
  </si>
  <si>
    <t>An establishment for a high volume of customers using multiple order lanes, multiple service lanes, and/or vehicle-side ordering and delivery. The restaurant employs both ordering upon arrival and in advance. This type of restaurant may have seating (indoor/outdoor) or window service, but the primary customer base remains in their vehicles for ordering, pickup, and drive-away.</t>
  </si>
  <si>
    <t>955 - Travel Center</t>
  </si>
  <si>
    <t>Includes any coffee and donut restaurant that has a drive-through window as well as a walk-in entrance area at which a patron can purchase and consume items. The restaurant sells freshly brewed coffee (and accessories) and a variety of food/drink products such as donuts, bagels, breads, muffins, cakes, sandwiches, wraps, salads, and other hot and cold beverages.</t>
  </si>
  <si>
    <t>T = 173.51(X) + 353.51</t>
  </si>
  <si>
    <t>T = 6.14(X) - 10.51</t>
  </si>
  <si>
    <t>Travel Center</t>
  </si>
  <si>
    <t>955</t>
  </si>
  <si>
    <t>T = 283.77(X) + 2045.74</t>
  </si>
  <si>
    <t>A facility that attracts both short- and long-distance travelers, usually located adjacent to a highway. Typically contains a large store accompanied by a substantial number of gas pumps. Extended hours of operation are common. A unique characteristic of some travel centers is that some trips are made exclusively to visit the store without the intent to fuel vehicles.</t>
  </si>
  <si>
    <t>Rental Car Facility</t>
  </si>
  <si>
    <t>960</t>
  </si>
  <si>
    <t>A stand-alone facility that houses one or more rental car agencies. The facility typically provides counter service for the transaction of passenger vehicle rentals. The facility usually has a large parking lot or garage for the storage of rental vehicles.</t>
  </si>
  <si>
    <t>821 - Shopping Plaza (40-150k) - w/ Supermarket</t>
  </si>
  <si>
    <t>821 - Shopping Plaza (40-150k) - w/o Supermarket</t>
  </si>
  <si>
    <t>Brief description of existing &amp; proposed uses:</t>
  </si>
  <si>
    <t>allow users to change rate/fce</t>
  </si>
  <si>
    <t>button to restore all formulae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</si>
</sst>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Aptos Narrow"/>
      <family val="2"/>
      <scheme val="minor"/>
    </font>
    <font>
      <b/>
      <sz val="11"/>
      <color theme="1"/>
      <name val="Aptos Narrow"/>
      <family val="2"/>
      <scheme val="minor"/>
    </font>
    <font>
      <u/>
      <sz val="11"/>
      <color theme="10"/>
      <name val="Aptos Narrow"/>
      <family val="2"/>
      <scheme val="minor"/>
    </font>
    <font>
      <sz val="8"/>
      <color rgb="FF000000"/>
      <name val="Segoe UI"/>
      <family val="2"/>
    </font>
    <font>
      <sz val="9"/>
      <color theme="1"/>
      <name val="Times New Roman"/>
      <family val="1"/>
    </font>
    <font>
      <b/>
      <sz val="9"/>
      <color theme="1"/>
      <name val="Times New Roman"/>
      <family val="1"/>
    </font>
    <font>
      <u/>
      <sz val="9"/>
      <color theme="10"/>
      <name val="Times New Roman"/>
      <family val="1"/>
    </font>
    <font>
      <sz val="9"/>
      <color rgb="FF000000"/>
      <name val="Times New Roman"/>
      <family val="1"/>
    </font>
    <font>
      <b/>
      <sz val="12"/>
      <color theme="1"/>
      <name val="Times New Roman"/>
      <family val="1"/>
    </font>
    <font>
      <u/>
      <sz val="6"/>
      <color theme="10"/>
      <name val="Times New Roman"/>
      <family val="1"/>
    </font>
    <font>
      <sz val="9"/>
      <color rgb="FF000000"/>
      <name val="Tims"/>
    </font>
    <font>
      <strike/>
      <sz val="11"/>
      <color theme="1"/>
      <name val="Aptos Narrow"/>
      <family val="2"/>
      <scheme val="minor"/>
    </font>
    <font>
      <b/>
      <sz val="16"/>
      <color theme="1"/>
      <name val="Vivaldi"/>
      <family val="4"/>
    </font>
    <font>
      <sz val="8"/>
      <color rgb="FFFF0000"/>
      <name val="Times New Roman"/>
      <family val="1"/>
    </font>
    <font>
      <sz val="9"/>
      <color rgb="FFFF0000"/>
      <name val="Times New Roman"/>
      <family val="1"/>
    </font>
    <font>
      <sz val="6"/>
      <color rgb="FFFF0000"/>
      <name val="Times New Roman"/>
      <family val="1"/>
    </font>
    <font>
      <sz val="16"/>
      <color theme="1"/>
      <name val="Times New Roman"/>
      <family val="1"/>
    </font>
    <font>
      <sz val="9"/>
      <color theme="1"/>
      <name val="Wingdings 2"/>
      <family val="1"/>
      <charset val="2"/>
    </font>
    <font>
      <sz val="9"/>
      <color theme="1"/>
      <name val="Aptos Narrow"/>
      <family val="2"/>
    </font>
    <font>
      <sz val="28"/>
      <color rgb="FFFF0000"/>
      <name val="Aptos Narrow"/>
      <family val="2"/>
      <scheme val="minor"/>
    </font>
    <font>
      <sz val="18"/>
      <color theme="1"/>
      <name val="Aptos Narrow"/>
      <family val="2"/>
      <scheme val="minor"/>
    </font>
    <font>
      <b/>
      <sz val="6"/>
      <color rgb="FFFF0000"/>
      <name val="Times New Roman"/>
      <family val="1"/>
    </font>
    <font>
      <sz val="18"/>
      <name val="Aptos Narrow"/>
      <family val="2"/>
      <scheme val="minor"/>
    </font>
    <font>
      <sz val="11"/>
      <color theme="1"/>
      <name val="Aptos Narrow"/>
      <family val="2"/>
      <scheme val="minor"/>
    </font>
    <font>
      <b/>
      <sz val="9"/>
      <color rgb="FFFF0000"/>
      <name val="Times New Roman"/>
      <family val="1"/>
    </font>
    <font>
      <sz val="9"/>
      <color indexed="81"/>
      <name val="Tahoma"/>
      <family val="2"/>
    </font>
    <font>
      <sz val="7"/>
      <color rgb="FF000000"/>
      <name val="Times New Roman"/>
      <family val="1"/>
    </font>
    <font>
      <sz val="7"/>
      <color rgb="FF000000"/>
      <name val="Tims"/>
    </font>
  </fonts>
  <fills count="11">
    <fill>
      <patternFill patternType="none"/>
    </fill>
    <fill>
      <patternFill patternType="gray125"/>
    </fill>
    <fill>
      <patternFill patternType="solid">
        <fgColor theme="5"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theme="1"/>
        <bgColor indexed="64"/>
      </patternFill>
    </fill>
    <fill>
      <patternFill patternType="solid">
        <fgColor theme="1" tint="0.499984740745262"/>
        <bgColor indexed="64"/>
      </patternFill>
    </fill>
    <fill>
      <patternFill patternType="solid">
        <fgColor theme="4" tint="0.79998168889431442"/>
        <bgColor indexed="64"/>
      </patternFill>
    </fill>
    <fill>
      <patternFill patternType="solid">
        <fgColor rgb="FFFFFFCC"/>
        <bgColor indexed="64"/>
      </patternFill>
    </fill>
    <fill>
      <patternFill patternType="solid">
        <fgColor rgb="FFFFD2CD"/>
        <bgColor indexed="64"/>
      </patternFill>
    </fill>
    <fill>
      <patternFill patternType="solid">
        <fgColor theme="9" tint="0.79998168889431442"/>
        <bgColor indexed="64"/>
      </patternFill>
    </fill>
  </fills>
  <borders count="23">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auto="1"/>
      </top>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bottom style="thin">
        <color auto="1"/>
      </bottom>
      <diagonal/>
    </border>
  </borders>
  <cellStyleXfs count="3">
    <xf numFmtId="0" fontId="0" fillId="0" borderId="0"/>
    <xf numFmtId="0" fontId="2" fillId="0" borderId="0" applyNumberFormat="0" applyFill="0" applyBorder="0" applyAlignment="0" applyProtection="0"/>
    <xf numFmtId="9" fontId="23" fillId="0" borderId="0" applyFont="0" applyFill="0" applyBorder="0" applyAlignment="0" applyProtection="0"/>
  </cellStyleXfs>
  <cellXfs count="161">
    <xf numFmtId="0" fontId="0" fillId="0" borderId="0" xfId="0"/>
    <xf numFmtId="0" fontId="4" fillId="8" borderId="4" xfId="0" applyFont="1" applyFill="1" applyBorder="1" applyAlignment="1" applyProtection="1">
      <alignment horizontal="center" vertical="center"/>
      <protection locked="0"/>
    </xf>
    <xf numFmtId="0" fontId="4" fillId="0" borderId="0" xfId="0" applyFont="1" applyAlignment="1" applyProtection="1">
      <alignment vertical="center"/>
      <protection locked="0"/>
    </xf>
    <xf numFmtId="1" fontId="4" fillId="0" borderId="0" xfId="0" applyNumberFormat="1" applyFont="1" applyAlignment="1" applyProtection="1">
      <alignment horizontal="center" vertical="center"/>
      <protection locked="0"/>
    </xf>
    <xf numFmtId="0" fontId="4" fillId="8" borderId="1" xfId="0" applyFont="1" applyFill="1" applyBorder="1" applyAlignment="1" applyProtection="1">
      <alignment horizontal="right" vertical="center"/>
      <protection locked="0"/>
      <extLst>
        <ext xmlns:xfpb="http://schemas.microsoft.com/office/spreadsheetml/2022/featurepropertybag" uri="{C7286773-470A-42A8-94C5-96B5CB345126}">
          <xfpb:xfComplement i="0"/>
        </ext>
      </extLst>
    </xf>
    <xf numFmtId="2" fontId="4" fillId="8" borderId="4" xfId="0" applyNumberFormat="1" applyFont="1" applyFill="1" applyBorder="1" applyAlignment="1" applyProtection="1">
      <alignment horizontal="center" vertical="center"/>
      <protection locked="0"/>
    </xf>
    <xf numFmtId="0" fontId="19" fillId="4" borderId="0" xfId="0" applyFont="1" applyFill="1" applyProtection="1"/>
    <xf numFmtId="0" fontId="0" fillId="0" borderId="0" xfId="0" applyProtection="1"/>
    <xf numFmtId="14" fontId="0" fillId="0" borderId="0" xfId="0" applyNumberFormat="1" applyProtection="1"/>
    <xf numFmtId="0" fontId="20" fillId="0" borderId="0" xfId="0" quotePrefix="1" applyFont="1" applyProtection="1"/>
    <xf numFmtId="0" fontId="20" fillId="0" borderId="0" xfId="0" applyFont="1" applyProtection="1"/>
    <xf numFmtId="0" fontId="22" fillId="0" borderId="0" xfId="1" applyFont="1" applyProtection="1"/>
    <xf numFmtId="0" fontId="4" fillId="0" borderId="6" xfId="0" applyFont="1" applyBorder="1" applyAlignment="1" applyProtection="1">
      <alignment vertical="center"/>
    </xf>
    <xf numFmtId="0" fontId="4" fillId="0" borderId="7" xfId="0" applyFont="1" applyBorder="1" applyAlignment="1" applyProtection="1">
      <alignment vertical="center"/>
    </xf>
    <xf numFmtId="0" fontId="8" fillId="0" borderId="7" xfId="0" applyFont="1" applyBorder="1" applyAlignment="1" applyProtection="1">
      <alignment vertical="center"/>
    </xf>
    <xf numFmtId="0" fontId="5" fillId="0" borderId="7" xfId="0" applyFont="1" applyBorder="1" applyAlignment="1" applyProtection="1">
      <alignment horizontal="center" vertical="center"/>
    </xf>
    <xf numFmtId="0" fontId="5" fillId="0" borderId="8" xfId="0" applyFont="1" applyBorder="1" applyAlignment="1" applyProtection="1">
      <alignment horizontal="center" vertical="center"/>
    </xf>
    <xf numFmtId="0" fontId="5" fillId="0" borderId="0" xfId="0" applyFont="1" applyBorder="1" applyAlignment="1" applyProtection="1">
      <alignment horizontal="center" vertical="center"/>
    </xf>
    <xf numFmtId="0" fontId="4" fillId="0" borderId="0" xfId="0" applyFont="1" applyBorder="1" applyAlignment="1" applyProtection="1">
      <alignment vertical="center"/>
    </xf>
    <xf numFmtId="0" fontId="4" fillId="0" borderId="0" xfId="0" applyFont="1" applyAlignment="1" applyProtection="1">
      <alignment vertical="center"/>
    </xf>
    <xf numFmtId="0" fontId="4" fillId="7" borderId="0" xfId="0" applyFont="1" applyFill="1" applyAlignment="1" applyProtection="1">
      <alignment vertical="center"/>
    </xf>
    <xf numFmtId="0" fontId="4" fillId="0" borderId="9" xfId="0" applyFont="1" applyBorder="1" applyAlignment="1" applyProtection="1">
      <alignment vertical="center"/>
    </xf>
    <xf numFmtId="0" fontId="9" fillId="0" borderId="0" xfId="1" applyFont="1" applyBorder="1" applyAlignment="1" applyProtection="1">
      <alignment vertical="center" wrapText="1"/>
    </xf>
    <xf numFmtId="0" fontId="6" fillId="0" borderId="10" xfId="1" applyFont="1" applyBorder="1" applyAlignment="1" applyProtection="1">
      <alignment horizontal="center" vertical="center" wrapText="1"/>
    </xf>
    <xf numFmtId="0" fontId="6" fillId="0" borderId="0" xfId="1" applyFont="1" applyBorder="1" applyAlignment="1" applyProtection="1">
      <alignment horizontal="center" vertical="center" wrapText="1"/>
    </xf>
    <xf numFmtId="0" fontId="4" fillId="0" borderId="0" xfId="0" applyFont="1" applyFill="1" applyBorder="1" applyAlignment="1" applyProtection="1">
      <alignment vertical="center"/>
    </xf>
    <xf numFmtId="0" fontId="6" fillId="0" borderId="0" xfId="1" applyFont="1" applyBorder="1" applyAlignment="1" applyProtection="1">
      <alignment vertical="center"/>
    </xf>
    <xf numFmtId="0" fontId="4" fillId="0" borderId="0" xfId="0" applyFont="1" applyBorder="1" applyAlignment="1" applyProtection="1">
      <alignment horizontal="left" vertical="center"/>
    </xf>
    <xf numFmtId="0" fontId="6" fillId="0" borderId="10" xfId="1" applyFont="1" applyBorder="1" applyAlignment="1" applyProtection="1">
      <alignment horizontal="left" vertical="center" wrapText="1"/>
    </xf>
    <xf numFmtId="0" fontId="4" fillId="0" borderId="0" xfId="0" applyFont="1" applyFill="1" applyBorder="1" applyAlignment="1" applyProtection="1">
      <alignment horizontal="right" vertical="center"/>
    </xf>
    <xf numFmtId="0" fontId="24" fillId="0" borderId="0" xfId="0" applyFont="1" applyBorder="1" applyAlignment="1" applyProtection="1">
      <alignment vertical="center"/>
    </xf>
    <xf numFmtId="0" fontId="14" fillId="0" borderId="0" xfId="0" applyFont="1" applyBorder="1" applyAlignment="1" applyProtection="1">
      <alignment vertical="center"/>
    </xf>
    <xf numFmtId="0" fontId="4" fillId="8" borderId="3" xfId="0" applyFont="1" applyFill="1" applyBorder="1" applyAlignment="1" applyProtection="1">
      <alignment vertical="center"/>
    </xf>
    <xf numFmtId="0" fontId="4" fillId="8" borderId="2" xfId="0" applyFont="1" applyFill="1" applyBorder="1" applyAlignment="1" applyProtection="1">
      <alignment vertical="center"/>
    </xf>
    <xf numFmtId="0" fontId="8" fillId="8" borderId="2" xfId="0" applyFont="1" applyFill="1" applyBorder="1" applyAlignment="1" applyProtection="1"/>
    <xf numFmtId="0" fontId="5" fillId="0" borderId="0" xfId="0" applyFont="1" applyBorder="1" applyAlignment="1" applyProtection="1">
      <alignment vertical="center"/>
    </xf>
    <xf numFmtId="0" fontId="5" fillId="0" borderId="17" xfId="0" applyFont="1" applyBorder="1" applyAlignment="1" applyProtection="1">
      <alignment vertical="center"/>
    </xf>
    <xf numFmtId="0" fontId="4" fillId="3" borderId="4" xfId="0" applyFont="1" applyFill="1" applyBorder="1" applyAlignment="1" applyProtection="1">
      <alignment horizontal="center" vertical="center"/>
    </xf>
    <xf numFmtId="10" fontId="4" fillId="0" borderId="0" xfId="2" applyNumberFormat="1" applyFont="1" applyBorder="1" applyAlignment="1" applyProtection="1">
      <alignment vertical="center"/>
    </xf>
    <xf numFmtId="0" fontId="21" fillId="0" borderId="0" xfId="0" applyFont="1" applyBorder="1" applyAlignment="1" applyProtection="1">
      <alignment vertical="center"/>
    </xf>
    <xf numFmtId="0" fontId="15" fillId="0" borderId="0" xfId="0" applyFont="1" applyBorder="1" applyAlignment="1" applyProtection="1">
      <alignment vertical="center"/>
    </xf>
    <xf numFmtId="0" fontId="13" fillId="0" borderId="0" xfId="0" applyFont="1" applyBorder="1" applyAlignment="1" applyProtection="1">
      <alignment vertical="center"/>
    </xf>
    <xf numFmtId="0" fontId="4" fillId="9" borderId="4" xfId="0" applyFont="1" applyFill="1" applyBorder="1" applyAlignment="1" applyProtection="1">
      <alignment horizontal="center" vertical="center"/>
    </xf>
    <xf numFmtId="0" fontId="4" fillId="2" borderId="0" xfId="0" applyFont="1" applyFill="1" applyAlignment="1" applyProtection="1">
      <alignment vertical="center"/>
    </xf>
    <xf numFmtId="0" fontId="5" fillId="0" borderId="0" xfId="0" applyFont="1" applyBorder="1" applyAlignment="1" applyProtection="1">
      <alignment horizontal="right" vertical="center"/>
    </xf>
    <xf numFmtId="0" fontId="4" fillId="0" borderId="11" xfId="0" applyFont="1" applyBorder="1" applyAlignment="1" applyProtection="1">
      <alignment horizontal="left" vertical="center"/>
    </xf>
    <xf numFmtId="0" fontId="4" fillId="0" borderId="12" xfId="0" applyFont="1" applyBorder="1" applyAlignment="1" applyProtection="1">
      <alignment vertical="center"/>
    </xf>
    <xf numFmtId="0" fontId="4" fillId="0" borderId="12" xfId="0" applyFont="1" applyBorder="1" applyAlignment="1" applyProtection="1">
      <alignment horizontal="center" vertical="center"/>
    </xf>
    <xf numFmtId="0" fontId="4" fillId="0" borderId="13" xfId="0" applyFont="1" applyBorder="1" applyAlignment="1" applyProtection="1">
      <alignment vertical="center"/>
    </xf>
    <xf numFmtId="0" fontId="4" fillId="0" borderId="8" xfId="0" applyFont="1" applyBorder="1" applyAlignment="1" applyProtection="1">
      <alignment vertical="center"/>
    </xf>
    <xf numFmtId="0" fontId="4" fillId="0" borderId="10" xfId="0" applyFont="1" applyBorder="1" applyAlignment="1" applyProtection="1">
      <alignment vertical="center"/>
    </xf>
    <xf numFmtId="0" fontId="17" fillId="0" borderId="0" xfId="0" applyFont="1" applyAlignment="1" applyProtection="1">
      <alignment vertical="center"/>
    </xf>
    <xf numFmtId="0" fontId="4" fillId="0" borderId="10" xfId="0" applyFont="1" applyBorder="1" applyAlignment="1" applyProtection="1">
      <alignment vertical="center" wrapText="1"/>
    </xf>
    <xf numFmtId="0" fontId="4" fillId="0" borderId="0" xfId="0" quotePrefix="1" applyFont="1" applyBorder="1" applyAlignment="1" applyProtection="1">
      <alignment vertical="center"/>
    </xf>
    <xf numFmtId="0" fontId="4" fillId="0" borderId="0" xfId="0" quotePrefix="1" applyFont="1" applyAlignment="1" applyProtection="1">
      <alignment vertical="center"/>
    </xf>
    <xf numFmtId="0" fontId="18" fillId="0" borderId="0" xfId="0" applyFont="1" applyBorder="1" applyAlignment="1" applyProtection="1">
      <alignment vertical="center" wrapText="1"/>
    </xf>
    <xf numFmtId="0" fontId="4" fillId="0" borderId="0" xfId="0" applyFont="1" applyBorder="1" applyAlignment="1" applyProtection="1">
      <alignment vertical="center" wrapText="1"/>
    </xf>
    <xf numFmtId="0" fontId="4" fillId="0" borderId="22" xfId="0" applyFont="1" applyBorder="1" applyAlignment="1" applyProtection="1">
      <alignment horizontal="center" vertical="center"/>
    </xf>
    <xf numFmtId="0" fontId="4" fillId="0" borderId="22" xfId="0" applyFont="1" applyBorder="1" applyAlignment="1" applyProtection="1">
      <alignment horizontal="center" vertical="center" wrapText="1"/>
    </xf>
    <xf numFmtId="0" fontId="4" fillId="0" borderId="10" xfId="0" applyFont="1" applyFill="1" applyBorder="1" applyAlignment="1" applyProtection="1">
      <alignment horizontal="center" vertical="center"/>
    </xf>
    <xf numFmtId="0" fontId="4" fillId="0" borderId="4" xfId="0" applyFont="1" applyBorder="1" applyAlignment="1" applyProtection="1">
      <alignment horizontal="center" vertical="center"/>
    </xf>
    <xf numFmtId="14" fontId="4" fillId="0" borderId="0" xfId="0" applyNumberFormat="1" applyFont="1" applyBorder="1" applyAlignment="1" applyProtection="1">
      <alignment vertical="center"/>
    </xf>
    <xf numFmtId="0" fontId="4" fillId="0" borderId="0" xfId="0" applyFont="1" applyFill="1" applyBorder="1" applyAlignment="1" applyProtection="1">
      <alignment horizontal="center" vertical="center"/>
    </xf>
    <xf numFmtId="0" fontId="6" fillId="0" borderId="10" xfId="1" applyFont="1" applyBorder="1" applyAlignment="1" applyProtection="1">
      <alignment horizontal="center" vertical="center"/>
    </xf>
    <xf numFmtId="0" fontId="4" fillId="0" borderId="11" xfId="0" applyFont="1" applyBorder="1" applyAlignment="1" applyProtection="1">
      <alignment vertical="center"/>
    </xf>
    <xf numFmtId="0" fontId="4" fillId="0" borderId="13" xfId="0" applyFont="1" applyBorder="1" applyAlignment="1" applyProtection="1">
      <alignment horizontal="center" vertical="center" wrapText="1"/>
    </xf>
    <xf numFmtId="0" fontId="6" fillId="0" borderId="0" xfId="1" applyFont="1" applyBorder="1" applyAlignment="1" applyProtection="1">
      <alignment horizontal="center" vertical="center"/>
    </xf>
    <xf numFmtId="0" fontId="1" fillId="0" borderId="4" xfId="0" applyFont="1" applyBorder="1" applyAlignment="1" applyProtection="1">
      <alignment horizontal="center" vertical="center"/>
    </xf>
    <xf numFmtId="0" fontId="1" fillId="0" borderId="5" xfId="0" applyFont="1" applyBorder="1" applyAlignment="1" applyProtection="1">
      <alignment horizontal="center" vertical="center"/>
    </xf>
    <xf numFmtId="0" fontId="0" fillId="0" borderId="0" xfId="0" applyAlignment="1" applyProtection="1">
      <alignment horizontal="center" vertical="center"/>
    </xf>
    <xf numFmtId="0" fontId="0" fillId="4" borderId="0" xfId="0" applyFill="1" applyAlignment="1" applyProtection="1">
      <alignment horizontal="center" vertical="center"/>
    </xf>
    <xf numFmtId="0" fontId="1" fillId="0" borderId="4" xfId="0" applyFont="1" applyBorder="1" applyAlignment="1" applyProtection="1">
      <alignment horizontal="center" vertical="center" wrapText="1"/>
    </xf>
    <xf numFmtId="0" fontId="1" fillId="0" borderId="0" xfId="0" applyFont="1" applyAlignment="1" applyProtection="1">
      <alignment horizontal="center" vertical="center"/>
    </xf>
    <xf numFmtId="0" fontId="0" fillId="3" borderId="0" xfId="0" applyFill="1" applyAlignment="1" applyProtection="1">
      <alignment horizontal="center" vertical="center"/>
    </xf>
    <xf numFmtId="0" fontId="1" fillId="0" borderId="0" xfId="0" applyFont="1" applyAlignment="1" applyProtection="1">
      <alignment horizontal="left" vertical="center" wrapText="1"/>
    </xf>
    <xf numFmtId="0" fontId="0" fillId="3" borderId="4" xfId="0" applyFill="1" applyBorder="1" applyAlignment="1" applyProtection="1">
      <alignment horizontal="left" vertical="center"/>
    </xf>
    <xf numFmtId="49" fontId="0" fillId="3" borderId="4" xfId="0" applyNumberFormat="1" applyFill="1" applyBorder="1" applyAlignment="1" applyProtection="1">
      <alignment horizontal="center" vertical="center"/>
    </xf>
    <xf numFmtId="0" fontId="0" fillId="5" borderId="0" xfId="0" applyFill="1" applyAlignment="1" applyProtection="1">
      <alignment horizontal="center" vertical="center"/>
    </xf>
    <xf numFmtId="49" fontId="0" fillId="3" borderId="4" xfId="0" applyNumberFormat="1" applyFill="1" applyBorder="1" applyAlignment="1" applyProtection="1">
      <alignment horizontal="left" vertical="center" wrapText="1"/>
    </xf>
    <xf numFmtId="0" fontId="0" fillId="10" borderId="0" xfId="0" applyFill="1" applyAlignment="1" applyProtection="1">
      <alignment horizontal="center" vertical="center"/>
    </xf>
    <xf numFmtId="0" fontId="0" fillId="0" borderId="0" xfId="0" applyAlignment="1" applyProtection="1">
      <alignment horizontal="left" vertical="center"/>
    </xf>
    <xf numFmtId="0" fontId="11" fillId="3" borderId="4" xfId="0" applyFont="1" applyFill="1" applyBorder="1" applyAlignment="1" applyProtection="1">
      <alignment horizontal="left" vertical="center"/>
    </xf>
    <xf numFmtId="49" fontId="11" fillId="3" borderId="4" xfId="0" applyNumberFormat="1" applyFont="1" applyFill="1" applyBorder="1" applyAlignment="1" applyProtection="1">
      <alignment horizontal="center" vertical="center"/>
    </xf>
    <xf numFmtId="0" fontId="11" fillId="0" borderId="0" xfId="0" applyFont="1" applyAlignment="1" applyProtection="1">
      <alignment horizontal="center" vertical="center"/>
    </xf>
    <xf numFmtId="49" fontId="11" fillId="3" borderId="0" xfId="0" applyNumberFormat="1" applyFont="1" applyFill="1" applyAlignment="1" applyProtection="1">
      <alignment horizontal="left" vertical="center" wrapText="1"/>
    </xf>
    <xf numFmtId="0" fontId="11" fillId="6" borderId="0" xfId="0" applyFont="1" applyFill="1" applyAlignment="1" applyProtection="1">
      <alignment horizontal="center" vertical="center"/>
    </xf>
    <xf numFmtId="0" fontId="0" fillId="0" borderId="0" xfId="0" applyAlignment="1" applyProtection="1">
      <alignment horizontal="center" vertical="center" wrapText="1"/>
    </xf>
    <xf numFmtId="0" fontId="4" fillId="8" borderId="2" xfId="0" applyFont="1" applyFill="1" applyBorder="1" applyAlignment="1" applyProtection="1">
      <alignment horizontal="left" vertical="center"/>
    </xf>
    <xf numFmtId="0" fontId="4" fillId="8" borderId="3" xfId="0" applyFont="1" applyFill="1" applyBorder="1" applyAlignment="1" applyProtection="1">
      <alignment horizontal="left" vertical="center"/>
    </xf>
    <xf numFmtId="0" fontId="4" fillId="0" borderId="0" xfId="0" applyFont="1" applyBorder="1" applyAlignment="1" applyProtection="1">
      <alignment horizontal="right" vertical="center"/>
    </xf>
    <xf numFmtId="0" fontId="4" fillId="0" borderId="0" xfId="0" applyFont="1" applyBorder="1" applyAlignment="1" applyProtection="1">
      <alignment horizontal="center" vertical="center" wrapText="1"/>
    </xf>
    <xf numFmtId="0" fontId="4" fillId="0" borderId="1" xfId="0" applyFont="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3" xfId="0" applyFont="1" applyFill="1" applyBorder="1" applyAlignment="1" applyProtection="1">
      <alignment horizontal="center" vertical="center"/>
    </xf>
    <xf numFmtId="1" fontId="4" fillId="3" borderId="1" xfId="0" applyNumberFormat="1" applyFont="1" applyFill="1" applyBorder="1" applyAlignment="1" applyProtection="1">
      <alignment horizontal="center" vertical="center"/>
    </xf>
    <xf numFmtId="1" fontId="4" fillId="3" borderId="3" xfId="0" applyNumberFormat="1" applyFont="1" applyFill="1" applyBorder="1" applyAlignment="1" applyProtection="1">
      <alignment horizontal="center" vertical="center"/>
    </xf>
    <xf numFmtId="0" fontId="4" fillId="3" borderId="1" xfId="0" applyFont="1" applyFill="1" applyBorder="1" applyAlignment="1" applyProtection="1">
      <alignment horizontal="center" vertical="center" wrapText="1"/>
    </xf>
    <xf numFmtId="0" fontId="4" fillId="3" borderId="2" xfId="0" applyFont="1" applyFill="1" applyBorder="1" applyAlignment="1" applyProtection="1">
      <alignment horizontal="center" vertical="center" wrapText="1"/>
    </xf>
    <xf numFmtId="0" fontId="4" fillId="8" borderId="1" xfId="0" applyFont="1" applyFill="1" applyBorder="1" applyAlignment="1" applyProtection="1">
      <alignment horizontal="center" vertical="center" wrapText="1"/>
      <protection locked="0"/>
    </xf>
    <xf numFmtId="0" fontId="4" fillId="8" borderId="2" xfId="0" applyFont="1" applyFill="1" applyBorder="1" applyAlignment="1" applyProtection="1">
      <alignment horizontal="center" vertical="center" wrapText="1"/>
      <protection locked="0"/>
    </xf>
    <xf numFmtId="0" fontId="4" fillId="8" borderId="3" xfId="0" applyFont="1" applyFill="1" applyBorder="1" applyAlignment="1" applyProtection="1">
      <alignment horizontal="center" vertical="center" wrapText="1"/>
      <protection locked="0"/>
    </xf>
    <xf numFmtId="0" fontId="4" fillId="8" borderId="1" xfId="0" applyFont="1" applyFill="1" applyBorder="1" applyAlignment="1" applyProtection="1">
      <alignment horizontal="left" vertical="center"/>
      <protection locked="0"/>
    </xf>
    <xf numFmtId="0" fontId="4" fillId="8" borderId="2" xfId="0" applyFont="1" applyFill="1" applyBorder="1" applyAlignment="1" applyProtection="1">
      <alignment horizontal="left" vertical="center"/>
      <protection locked="0"/>
    </xf>
    <xf numFmtId="0" fontId="4" fillId="8" borderId="3" xfId="0" applyFont="1" applyFill="1" applyBorder="1" applyAlignment="1" applyProtection="1">
      <alignment horizontal="left" vertical="center"/>
      <protection locked="0"/>
    </xf>
    <xf numFmtId="0" fontId="7" fillId="8" borderId="1" xfId="0" applyFont="1" applyFill="1" applyBorder="1" applyAlignment="1" applyProtection="1">
      <alignment horizontal="left" vertical="center"/>
      <protection locked="0"/>
    </xf>
    <xf numFmtId="0" fontId="7" fillId="8" borderId="2" xfId="0" applyFont="1" applyFill="1" applyBorder="1" applyAlignment="1" applyProtection="1">
      <alignment horizontal="left" vertical="center"/>
      <protection locked="0"/>
    </xf>
    <xf numFmtId="0" fontId="7" fillId="8" borderId="3" xfId="0" applyFont="1" applyFill="1" applyBorder="1" applyAlignment="1" applyProtection="1">
      <alignment horizontal="left" vertical="center"/>
      <protection locked="0"/>
    </xf>
    <xf numFmtId="0" fontId="4" fillId="0" borderId="14" xfId="0" applyFont="1" applyBorder="1" applyAlignment="1" applyProtection="1">
      <alignment horizontal="center" vertical="center" wrapText="1"/>
    </xf>
    <xf numFmtId="0" fontId="4" fillId="0" borderId="16" xfId="0" applyFont="1" applyBorder="1" applyAlignment="1" applyProtection="1">
      <alignment horizontal="center" vertical="center" wrapText="1"/>
    </xf>
    <xf numFmtId="0" fontId="4" fillId="0" borderId="15" xfId="0" applyFont="1" applyBorder="1" applyAlignment="1" applyProtection="1">
      <alignment horizontal="center" vertical="center" wrapText="1"/>
    </xf>
    <xf numFmtId="0" fontId="4" fillId="0" borderId="18" xfId="0" applyFont="1" applyBorder="1" applyAlignment="1" applyProtection="1">
      <alignment horizontal="center" vertical="center" wrapText="1"/>
    </xf>
    <xf numFmtId="0" fontId="4" fillId="0" borderId="0" xfId="0" applyFont="1" applyBorder="1" applyAlignment="1" applyProtection="1">
      <alignment horizontal="center" vertical="center" wrapText="1"/>
    </xf>
    <xf numFmtId="0" fontId="4" fillId="0" borderId="19" xfId="0" applyFont="1" applyBorder="1" applyAlignment="1" applyProtection="1">
      <alignment horizontal="center" vertical="center" wrapText="1"/>
    </xf>
    <xf numFmtId="0" fontId="4" fillId="0" borderId="20" xfId="0" applyFont="1" applyBorder="1" applyAlignment="1" applyProtection="1">
      <alignment horizontal="center" vertical="center" wrapText="1"/>
    </xf>
    <xf numFmtId="0" fontId="4" fillId="0" borderId="17" xfId="0" applyFont="1" applyBorder="1" applyAlignment="1" applyProtection="1">
      <alignment horizontal="center" vertical="center" wrapText="1"/>
    </xf>
    <xf numFmtId="0" fontId="4" fillId="0" borderId="21" xfId="0" applyFont="1" applyBorder="1" applyAlignment="1" applyProtection="1">
      <alignment horizontal="center" vertical="center" wrapText="1"/>
    </xf>
    <xf numFmtId="0" fontId="5" fillId="0" borderId="17" xfId="0" applyFont="1" applyBorder="1" applyAlignment="1" applyProtection="1">
      <alignment horizontal="center" vertical="center"/>
    </xf>
    <xf numFmtId="0" fontId="4" fillId="9" borderId="1" xfId="0" applyFont="1" applyFill="1" applyBorder="1" applyAlignment="1" applyProtection="1">
      <alignment horizontal="center" vertical="center"/>
    </xf>
    <xf numFmtId="0" fontId="4" fillId="9" borderId="2" xfId="0" applyFont="1" applyFill="1" applyBorder="1" applyAlignment="1" applyProtection="1">
      <alignment horizontal="center" vertical="center"/>
    </xf>
    <xf numFmtId="0" fontId="4" fillId="9" borderId="3" xfId="0" applyFont="1" applyFill="1" applyBorder="1" applyAlignment="1" applyProtection="1">
      <alignment horizontal="center" vertical="center"/>
    </xf>
    <xf numFmtId="0" fontId="4" fillId="0" borderId="0" xfId="0" applyFont="1" applyFill="1" applyBorder="1" applyAlignment="1" applyProtection="1">
      <alignment horizontal="right" vertical="center" wrapText="1"/>
    </xf>
    <xf numFmtId="0" fontId="4" fillId="0" borderId="19" xfId="0" applyFont="1" applyFill="1" applyBorder="1" applyAlignment="1" applyProtection="1">
      <alignment horizontal="right" vertical="center" wrapText="1"/>
    </xf>
    <xf numFmtId="0" fontId="4" fillId="0" borderId="20" xfId="0" applyFont="1" applyBorder="1" applyAlignment="1" applyProtection="1">
      <alignment horizontal="left" vertical="center" wrapText="1"/>
    </xf>
    <xf numFmtId="0" fontId="4" fillId="0" borderId="17" xfId="0" applyFont="1" applyBorder="1" applyAlignment="1" applyProtection="1">
      <alignment horizontal="left" vertical="center" wrapText="1"/>
    </xf>
    <xf numFmtId="0" fontId="4" fillId="0" borderId="21" xfId="0" applyFont="1" applyBorder="1" applyAlignment="1" applyProtection="1">
      <alignment horizontal="left" vertical="center" wrapText="1"/>
    </xf>
    <xf numFmtId="0" fontId="4" fillId="0" borderId="20" xfId="0" applyFont="1" applyBorder="1" applyAlignment="1" applyProtection="1">
      <alignment horizontal="left" vertical="center"/>
    </xf>
    <xf numFmtId="0" fontId="4" fillId="0" borderId="17" xfId="0" applyFont="1" applyBorder="1" applyAlignment="1" applyProtection="1">
      <alignment horizontal="left" vertical="center"/>
    </xf>
    <xf numFmtId="0" fontId="4" fillId="0" borderId="21" xfId="0" applyFont="1" applyBorder="1" applyAlignment="1" applyProtection="1">
      <alignment horizontal="left" vertical="center"/>
    </xf>
    <xf numFmtId="0" fontId="4" fillId="8" borderId="1" xfId="0" applyFont="1" applyFill="1" applyBorder="1" applyAlignment="1" applyProtection="1">
      <alignment horizontal="center" vertical="center"/>
      <protection locked="0"/>
    </xf>
    <xf numFmtId="0" fontId="4" fillId="8" borderId="2" xfId="0" applyFont="1" applyFill="1" applyBorder="1" applyAlignment="1" applyProtection="1">
      <alignment horizontal="center" vertical="center"/>
      <protection locked="0"/>
    </xf>
    <xf numFmtId="0" fontId="4" fillId="8" borderId="3" xfId="0" applyFont="1" applyFill="1" applyBorder="1" applyAlignment="1" applyProtection="1">
      <alignment horizontal="center" vertical="center"/>
      <protection locked="0"/>
    </xf>
    <xf numFmtId="0" fontId="16" fillId="7" borderId="0" xfId="0" applyFont="1" applyFill="1" applyAlignment="1" applyProtection="1">
      <alignment horizontal="center" vertical="center"/>
    </xf>
    <xf numFmtId="0" fontId="9" fillId="0" borderId="0" xfId="1" applyFont="1" applyBorder="1" applyAlignment="1" applyProtection="1">
      <alignment horizontal="center" vertical="center" wrapText="1"/>
    </xf>
    <xf numFmtId="0" fontId="4" fillId="2" borderId="0" xfId="0" applyFont="1" applyFill="1" applyAlignment="1" applyProtection="1">
      <alignment horizontal="center" vertical="center" wrapText="1"/>
    </xf>
    <xf numFmtId="0" fontId="4" fillId="9" borderId="1" xfId="0" applyFont="1" applyFill="1" applyBorder="1" applyAlignment="1" applyProtection="1">
      <alignment horizontal="center" vertical="center" wrapText="1"/>
    </xf>
    <xf numFmtId="0" fontId="4" fillId="9" borderId="3" xfId="0" applyFont="1" applyFill="1" applyBorder="1" applyAlignment="1" applyProtection="1">
      <alignment horizontal="center" vertical="center" wrapText="1"/>
    </xf>
    <xf numFmtId="0" fontId="4" fillId="7" borderId="0" xfId="0" applyFont="1" applyFill="1" applyAlignment="1" applyProtection="1">
      <alignment horizontal="center" vertical="center"/>
    </xf>
    <xf numFmtId="0" fontId="6" fillId="0" borderId="0" xfId="1" applyFont="1" applyBorder="1" applyAlignment="1" applyProtection="1">
      <alignment horizontal="left" vertical="center" wrapText="1"/>
    </xf>
    <xf numFmtId="0" fontId="4" fillId="0" borderId="1" xfId="0" applyFont="1" applyBorder="1" applyAlignment="1" applyProtection="1">
      <alignment horizontal="center" vertical="center"/>
    </xf>
    <xf numFmtId="0" fontId="4" fillId="0" borderId="2" xfId="0" applyFont="1" applyBorder="1" applyAlignment="1" applyProtection="1">
      <alignment horizontal="center" vertical="center"/>
    </xf>
    <xf numFmtId="0" fontId="4" fillId="0" borderId="3" xfId="0" applyFont="1" applyBorder="1" applyAlignment="1" applyProtection="1">
      <alignment horizontal="center" vertical="center"/>
    </xf>
    <xf numFmtId="0" fontId="4" fillId="3" borderId="1" xfId="0" applyFont="1" applyFill="1" applyBorder="1" applyAlignment="1" applyProtection="1">
      <alignment horizontal="left" vertical="center"/>
    </xf>
    <xf numFmtId="0" fontId="4" fillId="3" borderId="2" xfId="0" applyFont="1" applyFill="1" applyBorder="1" applyAlignment="1" applyProtection="1">
      <alignment horizontal="left" vertical="center"/>
    </xf>
    <xf numFmtId="0" fontId="4" fillId="3" borderId="3" xfId="0" applyFont="1" applyFill="1" applyBorder="1" applyAlignment="1" applyProtection="1">
      <alignment horizontal="left" vertical="center"/>
    </xf>
    <xf numFmtId="0" fontId="7" fillId="8" borderId="1" xfId="0" applyFont="1" applyFill="1" applyBorder="1" applyAlignment="1" applyProtection="1">
      <alignment horizontal="left" vertical="center" wrapText="1"/>
      <protection locked="0"/>
    </xf>
    <xf numFmtId="0" fontId="4" fillId="0" borderId="0" xfId="0" applyFont="1" applyBorder="1" applyAlignment="1" applyProtection="1">
      <alignment horizontal="right" vertical="center"/>
    </xf>
    <xf numFmtId="0" fontId="4" fillId="0" borderId="19" xfId="0" applyFont="1" applyBorder="1" applyAlignment="1" applyProtection="1">
      <alignment horizontal="right" vertical="center"/>
    </xf>
    <xf numFmtId="0" fontId="15" fillId="0" borderId="16" xfId="0" applyFont="1" applyBorder="1" applyAlignment="1" applyProtection="1">
      <alignment horizontal="left" vertical="center" wrapText="1"/>
    </xf>
    <xf numFmtId="0" fontId="4" fillId="0" borderId="12" xfId="0" applyFont="1" applyBorder="1" applyAlignment="1" applyProtection="1">
      <alignment horizontal="left" vertical="center" wrapText="1"/>
    </xf>
    <xf numFmtId="0" fontId="12" fillId="3" borderId="0" xfId="0" applyFont="1" applyFill="1" applyBorder="1" applyAlignment="1" applyProtection="1">
      <alignment horizontal="left" vertical="center"/>
    </xf>
    <xf numFmtId="14" fontId="12" fillId="3" borderId="0" xfId="0" applyNumberFormat="1" applyFont="1" applyFill="1" applyBorder="1" applyAlignment="1" applyProtection="1">
      <alignment horizontal="left" vertical="center"/>
    </xf>
    <xf numFmtId="0" fontId="26" fillId="8" borderId="1" xfId="0" applyFont="1" applyFill="1" applyBorder="1" applyAlignment="1" applyProtection="1">
      <alignment horizontal="left" vertical="center"/>
      <protection locked="0"/>
    </xf>
    <xf numFmtId="0" fontId="26" fillId="8" borderId="2" xfId="0" applyFont="1" applyFill="1" applyBorder="1" applyAlignment="1" applyProtection="1">
      <alignment horizontal="left" vertical="center"/>
      <protection locked="0"/>
    </xf>
    <xf numFmtId="0" fontId="26" fillId="8" borderId="3" xfId="0" applyFont="1" applyFill="1" applyBorder="1" applyAlignment="1" applyProtection="1">
      <alignment horizontal="left" vertical="center"/>
      <protection locked="0"/>
    </xf>
    <xf numFmtId="1" fontId="5" fillId="0" borderId="0" xfId="0" applyNumberFormat="1" applyFont="1" applyBorder="1" applyAlignment="1" applyProtection="1">
      <alignment horizontal="center" vertical="center"/>
    </xf>
    <xf numFmtId="0" fontId="4" fillId="0" borderId="16" xfId="0" applyFont="1" applyBorder="1" applyAlignment="1" applyProtection="1">
      <alignment horizontal="right" vertical="center"/>
    </xf>
    <xf numFmtId="0" fontId="4" fillId="0" borderId="15" xfId="0" applyFont="1" applyBorder="1" applyAlignment="1" applyProtection="1">
      <alignment horizontal="right" vertical="center"/>
    </xf>
    <xf numFmtId="0" fontId="7" fillId="8" borderId="14" xfId="0" applyFont="1" applyFill="1" applyBorder="1" applyAlignment="1" applyProtection="1">
      <alignment horizontal="left" vertical="center"/>
      <protection locked="0"/>
    </xf>
    <xf numFmtId="0" fontId="9" fillId="0" borderId="0" xfId="1" applyFont="1" applyBorder="1" applyAlignment="1" applyProtection="1">
      <alignment horizontal="left" vertical="center" wrapText="1"/>
    </xf>
    <xf numFmtId="0" fontId="4" fillId="8" borderId="2" xfId="0" applyFont="1" applyFill="1" applyBorder="1" applyAlignment="1" applyProtection="1">
      <alignment horizontal="left" vertical="center"/>
    </xf>
    <xf numFmtId="0" fontId="4" fillId="8" borderId="3" xfId="0" applyFont="1" applyFill="1" applyBorder="1" applyAlignment="1" applyProtection="1">
      <alignment horizontal="left" vertical="center"/>
    </xf>
  </cellXfs>
  <cellStyles count="3">
    <cellStyle name="Hyperlink" xfId="1" builtinId="8"/>
    <cellStyle name="Normal" xfId="0" builtinId="0"/>
    <cellStyle name="Percent" xfId="2" builtinId="5"/>
  </cellStyles>
  <dxfs count="0"/>
  <tableStyles count="0" defaultTableStyle="TableStyleMedium2" defaultPivotStyle="PivotStyleLight16"/>
  <colors>
    <mruColors>
      <color rgb="FFFFFFCC"/>
      <color rgb="FFFFD2CD"/>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22/11/relationships/FeaturePropertyBag" Target="featurePropertyBag/featurePropertyBag.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CheckBox" fmlaLink="AJ11" lockText="1" noThreeD="1"/>
</file>

<file path=xl/ctrlProps/ctrlProp2.xml><?xml version="1.0" encoding="utf-8"?>
<formControlPr xmlns="http://schemas.microsoft.com/office/spreadsheetml/2009/9/main" objectType="CheckBox" fmlaLink="AJ13" lockText="1" noThreeD="1"/>
</file>

<file path=xl/ctrlProps/ctrlProp3.xml><?xml version="1.0" encoding="utf-8"?>
<formControlPr xmlns="http://schemas.microsoft.com/office/spreadsheetml/2009/9/main" objectType="CheckBox" fmlaLink="AJ2" lockText="1" noThreeD="1"/>
</file>

<file path=xl/ctrlProps/ctrlProp4.xml><?xml version="1.0" encoding="utf-8"?>
<formControlPr xmlns="http://schemas.microsoft.com/office/spreadsheetml/2009/9/main" objectType="CheckBox" fmlaLink="AJ5" lockText="1" noThreeD="1"/>
</file>

<file path=xl/ctrlProps/ctrlProp5.xml><?xml version="1.0" encoding="utf-8"?>
<formControlPr xmlns="http://schemas.microsoft.com/office/spreadsheetml/2009/9/main" objectType="CheckBox" fmlaLink="AJ7"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fmlaLink="AB6" lockText="1" noThreeD="1"/>
</file>

<file path=xl/ctrlProps/ctrlProp8.xml><?xml version="1.0" encoding="utf-8"?>
<formControlPr xmlns="http://schemas.microsoft.com/office/spreadsheetml/2009/9/main" objectType="CheckBox" fmlaLink="AJ35" lockText="1" noThreeD="1"/>
</file>

<file path=xl/ctrlProps/ctrlProp9.xml><?xml version="1.0" encoding="utf-8"?>
<formControlPr xmlns="http://schemas.microsoft.com/office/spreadsheetml/2009/9/main" objectType="CheckBox" fmlaLink="AJ36" lockText="1" noThreeD="1"/>
</file>

<file path=xl/ctrlProps/ctrlProp10.xml><?xml version="1.0" encoding="utf-8"?>
<formControlPr xmlns="http://schemas.microsoft.com/office/spreadsheetml/2009/9/main" objectType="CheckBox" fmlaLink="AJ37" lockText="1" noThreeD="1"/>
</file>

<file path=xl/ctrlProps/ctrlProp11.xml><?xml version="1.0" encoding="utf-8"?>
<formControlPr xmlns="http://schemas.microsoft.com/office/spreadsheetml/2009/9/main" objectType="CheckBox" fmlaLink="AK35" lockText="1" noThreeD="1"/>
</file>

<file path=xl/ctrlProps/ctrlProp12.xml><?xml version="1.0" encoding="utf-8"?>
<formControlPr xmlns="http://schemas.microsoft.com/office/spreadsheetml/2009/9/main" objectType="CheckBox" fmlaLink="AK36" lockText="1" noThreeD="1"/>
</file>

<file path=xl/ctrlProps/ctrlProp13.xml><?xml version="1.0" encoding="utf-8"?>
<formControlPr xmlns="http://schemas.microsoft.com/office/spreadsheetml/2009/9/main" objectType="CheckBox" fmlaLink="AK37" lockText="1" noThreeD="1"/>
</file>

<file path=xl/ctrlProps/ctrlProp14.xml><?xml version="1.0" encoding="utf-8"?>
<formControlPr xmlns="http://schemas.microsoft.com/office/spreadsheetml/2009/9/main" objectType="CheckBox" fmlaLink="AL35" lockText="1" noThreeD="1"/>
</file>

<file path=xl/ctrlProps/ctrlProp15.xml><?xml version="1.0" encoding="utf-8"?>
<formControlPr xmlns="http://schemas.microsoft.com/office/spreadsheetml/2009/9/main" objectType="CheckBox" fmlaLink="AL36"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CheckBox" fmlaLink="AJ13"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CheckBox" fmlaLink="AJ22" lockText="1" noThreeD="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CheckBox" fmlaLink="AK11"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18</xdr:col>
      <xdr:colOff>110440</xdr:colOff>
      <xdr:row>0</xdr:row>
      <xdr:rowOff>14471</xdr:rowOff>
    </xdr:from>
    <xdr:to>
      <xdr:col>21</xdr:col>
      <xdr:colOff>16190</xdr:colOff>
      <xdr:row>2</xdr:row>
      <xdr:rowOff>21628</xdr:rowOff>
    </xdr:to>
    <xdr:pic>
      <xdr:nvPicPr>
        <xdr:cNvPr id="3" name="Picture 2">
          <a:extLst>
            <a:ext uri="{FF2B5EF4-FFF2-40B4-BE49-F238E27FC236}">
              <a16:creationId xmlns:a16="http://schemas.microsoft.com/office/drawing/2014/main" id="{807BCCEE-6F65-4F20-86A2-B98680147E5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37284" y="14471"/>
          <a:ext cx="824199" cy="429591"/>
        </a:xfrm>
        <a:prstGeom prst="rect">
          <a:avLst/>
        </a:prstGeom>
      </xdr:spPr>
    </xdr:pic>
    <xdr:clientData/>
  </xdr:twoCellAnchor>
  <mc:AlternateContent xmlns:mc="http://schemas.openxmlformats.org/markup-compatibility/2006">
    <mc:Choice xmlns:a14="http://schemas.microsoft.com/office/drawing/2010/main" Requires="a14">
      <xdr:twoCellAnchor>
        <xdr:from>
          <xdr:col>33</xdr:col>
          <xdr:colOff>266700</xdr:colOff>
          <xdr:row>17</xdr:row>
          <xdr:rowOff>45720</xdr:rowOff>
        </xdr:from>
        <xdr:to>
          <xdr:col>34</xdr:col>
          <xdr:colOff>45720</xdr:colOff>
          <xdr:row>19</xdr:row>
          <xdr:rowOff>7620</xdr:rowOff>
        </xdr:to>
        <xdr:sp macro="" textlink="">
          <xdr:nvSpPr>
            <xdr:cNvPr id="1035" name="ChckBx_RestrictiveZoning"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solidFill>
              <a:srgbClr val="808080" mc:Ignorable="a14" a14:legacySpreadsheetColorIndex="23"/>
            </a:solidFill>
            <a:ln w="9525">
              <a:solidFill>
                <a:srgbClr val="000000" mc:Ignorable="a14" a14:legacySpreadsheetColorIndex="64"/>
              </a:solidFill>
              <a:miter lim="800000"/>
              <a:headEnd/>
              <a:tailEnd/>
            </a:ln>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29</xdr:col>
          <xdr:colOff>22860</xdr:colOff>
          <xdr:row>19</xdr:row>
          <xdr:rowOff>60960</xdr:rowOff>
        </xdr:from>
        <xdr:to>
          <xdr:col>34</xdr:col>
          <xdr:colOff>289560</xdr:colOff>
          <xdr:row>20</xdr:row>
          <xdr:rowOff>251460</xdr:rowOff>
        </xdr:to>
        <xdr:sp macro="" textlink="">
          <xdr:nvSpPr>
            <xdr:cNvPr id="1064" name="ChckBx_RestrictiveZoning" hidden="1">
              <a:extLst>
                <a:ext uri="{63B3BB69-23CF-44E3-9099-C40C66FF867C}">
                  <a14:compatExt spid="_x0000_s1064"/>
                </a:ext>
                <a:ext uri="{FF2B5EF4-FFF2-40B4-BE49-F238E27FC236}">
                  <a16:creationId xmlns:a16="http://schemas.microsoft.com/office/drawing/2014/main" id="{00000000-0008-0000-0100-000028040000}"/>
                </a:ext>
              </a:extLst>
            </xdr:cNvPr>
            <xdr:cNvSpPr/>
          </xdr:nvSpPr>
          <xdr:spPr bwMode="auto">
            <a:xfrm>
              <a:off x="0" y="0"/>
              <a:ext cx="0" cy="0"/>
            </a:xfrm>
            <a:prstGeom prst="rect">
              <a:avLst/>
            </a:prstGeom>
            <a:solidFill>
              <a:srgbClr val="808080" mc:Ignorable="a14" a14:legacySpreadsheetColorIndex="23"/>
            </a:solidFill>
            <a:ln w="9525">
              <a:solidFill>
                <a:srgbClr val="000000" mc:Ignorable="a14" a14:legacySpreadsheetColorIndex="64"/>
              </a:solidFill>
              <a:miter lim="800000"/>
              <a:headEnd/>
              <a:tailEnd/>
            </a:ln>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Waive TIA for a special reason, even though it is otherwise required?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29</xdr:col>
          <xdr:colOff>7620</xdr:colOff>
          <xdr:row>6</xdr:row>
          <xdr:rowOff>60960</xdr:rowOff>
        </xdr:from>
        <xdr:to>
          <xdr:col>34</xdr:col>
          <xdr:colOff>365760</xdr:colOff>
          <xdr:row>9</xdr:row>
          <xdr:rowOff>144780</xdr:rowOff>
        </xdr:to>
        <xdr:sp macro="" textlink="">
          <xdr:nvSpPr>
            <xdr:cNvPr id="1068" name="ChckBx_RestrictiveZoning" hidden="1">
              <a:extLst>
                <a:ext uri="{63B3BB69-23CF-44E3-9099-C40C66FF867C}">
                  <a14:compatExt spid="_x0000_s1068"/>
                </a:ext>
                <a:ext uri="{FF2B5EF4-FFF2-40B4-BE49-F238E27FC236}">
                  <a16:creationId xmlns:a16="http://schemas.microsoft.com/office/drawing/2014/main" id="{00000000-0008-0000-0100-00002C040000}"/>
                </a:ext>
              </a:extLst>
            </xdr:cNvPr>
            <xdr:cNvSpPr/>
          </xdr:nvSpPr>
          <xdr:spPr bwMode="auto">
            <a:xfrm>
              <a:off x="0" y="0"/>
              <a:ext cx="0" cy="0"/>
            </a:xfrm>
            <a:prstGeom prst="rect">
              <a:avLst/>
            </a:prstGeom>
            <a:solidFill>
              <a:srgbClr val="808080" mc:Ignorable="a14" a14:legacySpreadsheetColorIndex="23"/>
            </a:solidFill>
            <a:ln w="9525">
              <a:solidFill>
                <a:srgbClr val="000000" mc:Ignorable="a14" a14:legacySpreadsheetColorIndex="64"/>
              </a:solidFill>
              <a:miter lim="800000"/>
              <a:headEnd/>
              <a:tailEnd/>
            </a:ln>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If in Limited Purpose, direct access to City Road?</a:t>
              </a:r>
            </a:p>
          </xdr:txBody>
        </xdr:sp>
        <xdr:clientData/>
      </xdr:twoCellAnchor>
    </mc:Choice>
    <mc:Fallback/>
  </mc:AlternateContent>
  <mc:AlternateContent xmlns:mc="http://schemas.openxmlformats.org/markup-compatibility/2006">
    <mc:Choice xmlns:a14="http://schemas.microsoft.com/office/drawing/2010/main" Requires="a14">
      <xdr:twoCellAnchor>
        <xdr:from>
          <xdr:col>29</xdr:col>
          <xdr:colOff>7620</xdr:colOff>
          <xdr:row>10</xdr:row>
          <xdr:rowOff>38100</xdr:rowOff>
        </xdr:from>
        <xdr:to>
          <xdr:col>34</xdr:col>
          <xdr:colOff>342900</xdr:colOff>
          <xdr:row>12</xdr:row>
          <xdr:rowOff>175260</xdr:rowOff>
        </xdr:to>
        <xdr:sp macro="" textlink="">
          <xdr:nvSpPr>
            <xdr:cNvPr id="1069" name="ChckBx_RestrictiveZoning" hidden="1">
              <a:extLst>
                <a:ext uri="{63B3BB69-23CF-44E3-9099-C40C66FF867C}">
                  <a14:compatExt spid="_x0000_s1069"/>
                </a:ext>
                <a:ext uri="{FF2B5EF4-FFF2-40B4-BE49-F238E27FC236}">
                  <a16:creationId xmlns:a16="http://schemas.microsoft.com/office/drawing/2014/main" id="{00000000-0008-0000-0100-00002D040000}"/>
                </a:ext>
              </a:extLst>
            </xdr:cNvPr>
            <xdr:cNvSpPr/>
          </xdr:nvSpPr>
          <xdr:spPr bwMode="auto">
            <a:xfrm>
              <a:off x="0" y="0"/>
              <a:ext cx="0" cy="0"/>
            </a:xfrm>
            <a:prstGeom prst="rect">
              <a:avLst/>
            </a:prstGeom>
            <a:solidFill>
              <a:srgbClr val="808080" mc:Ignorable="a14" a14:legacySpreadsheetColorIndex="23"/>
            </a:solidFill>
            <a:ln w="9525">
              <a:solidFill>
                <a:srgbClr val="000000" mc:Ignorable="a14" a14:legacySpreadsheetColorIndex="64"/>
              </a:solidFill>
              <a:miter lim="800000"/>
              <a:headEnd/>
              <a:tailEnd/>
            </a:ln>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If in Limited Purpose, Net Daily Trips &gt;2000 and &lt;5000 AND &gt;100 PM Trips in City-Owned Road within 0.25 miles?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29</xdr:col>
          <xdr:colOff>22860</xdr:colOff>
          <xdr:row>12</xdr:row>
          <xdr:rowOff>220980</xdr:rowOff>
        </xdr:from>
        <xdr:to>
          <xdr:col>34</xdr:col>
          <xdr:colOff>335280</xdr:colOff>
          <xdr:row>17</xdr:row>
          <xdr:rowOff>0</xdr:rowOff>
        </xdr:to>
        <xdr:sp macro="" textlink="">
          <xdr:nvSpPr>
            <xdr:cNvPr id="1070" name="ChckBx_RestrictiveZoning" hidden="1">
              <a:extLst>
                <a:ext uri="{63B3BB69-23CF-44E3-9099-C40C66FF867C}">
                  <a14:compatExt spid="_x0000_s1070"/>
                </a:ext>
                <a:ext uri="{FF2B5EF4-FFF2-40B4-BE49-F238E27FC236}">
                  <a16:creationId xmlns:a16="http://schemas.microsoft.com/office/drawing/2014/main" id="{00000000-0008-0000-0100-00002E040000}"/>
                </a:ext>
              </a:extLst>
            </xdr:cNvPr>
            <xdr:cNvSpPr/>
          </xdr:nvSpPr>
          <xdr:spPr bwMode="auto">
            <a:xfrm>
              <a:off x="0" y="0"/>
              <a:ext cx="0" cy="0"/>
            </a:xfrm>
            <a:prstGeom prst="rect">
              <a:avLst/>
            </a:prstGeom>
            <a:solidFill>
              <a:srgbClr val="808080" mc:Ignorable="a14" a14:legacySpreadsheetColorIndex="23"/>
            </a:solidFill>
            <a:ln w="9525">
              <a:solidFill>
                <a:srgbClr val="000000" mc:Ignorable="a14" a14:legacySpreadsheetColorIndex="64"/>
              </a:solidFill>
              <a:miter lim="800000"/>
              <a:headEnd/>
              <a:tailEnd/>
            </a:ln>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If in Limited Purpose, Net Daily Trips &gt;5000 AND &gt;50 PM Trips in City-Owned Road within 0.5 miles?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38100</xdr:colOff>
          <xdr:row>0</xdr:row>
          <xdr:rowOff>45720</xdr:rowOff>
        </xdr:from>
        <xdr:to>
          <xdr:col>23</xdr:col>
          <xdr:colOff>22860</xdr:colOff>
          <xdr:row>0</xdr:row>
          <xdr:rowOff>198120</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100-00002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Tims"/>
                </a:rPr>
                <a:t>Staff Use Only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7620</xdr:colOff>
          <xdr:row>4</xdr:row>
          <xdr:rowOff>22860</xdr:rowOff>
        </xdr:from>
        <xdr:to>
          <xdr:col>32</xdr:col>
          <xdr:colOff>106680</xdr:colOff>
          <xdr:row>6</xdr:row>
          <xdr:rowOff>7620</xdr:rowOff>
        </xdr:to>
        <xdr:sp macro="" textlink="">
          <xdr:nvSpPr>
            <xdr:cNvPr id="1083" name="ChckBx_TIA"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solidFill>
              <a:srgbClr val="808080" mc:Ignorable="a14" a14:legacySpreadsheetColorIndex="23"/>
            </a:solidFill>
            <a:ln w="6350">
              <a:solidFill>
                <a:srgbClr val="000000" mc:Ignorable="a14" a14:legacySpreadsheetColorIndex="64"/>
              </a:solidFill>
              <a:miter lim="800000"/>
              <a:headEnd/>
              <a:tailEnd/>
            </a:ln>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Valid TIA applicable?</a:t>
              </a:r>
            </a:p>
          </xdr:txBody>
        </xdr:sp>
        <xdr:clientData/>
      </xdr:twoCellAnchor>
    </mc:Choice>
    <mc:Fallback/>
  </mc:AlternateContent>
  <mc:AlternateContent xmlns:mc="http://schemas.openxmlformats.org/markup-compatibility/2006">
    <mc:Choice xmlns:a14="http://schemas.microsoft.com/office/drawing/2010/main" Requires="a14">
      <xdr:twoCellAnchor>
        <xdr:from>
          <xdr:col>30</xdr:col>
          <xdr:colOff>38100</xdr:colOff>
          <xdr:row>34</xdr:row>
          <xdr:rowOff>22860</xdr:rowOff>
        </xdr:from>
        <xdr:to>
          <xdr:col>31</xdr:col>
          <xdr:colOff>137160</xdr:colOff>
          <xdr:row>35</xdr:row>
          <xdr:rowOff>106680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solidFill>
              <a:srgbClr val="808080" mc:Ignorable="a14" a14:legacySpreadsheetColorIndex="23"/>
            </a:solidFill>
            <a:ln w="6350">
              <a:solidFill>
                <a:srgbClr val="000000" mc:Ignorable="a14" a14:legacySpreadsheetColorIndex="64"/>
              </a:solidFill>
              <a:miter lim="800000"/>
              <a:headEnd/>
              <a:tailEnd/>
            </a:ln>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30</xdr:col>
          <xdr:colOff>30480</xdr:colOff>
          <xdr:row>35</xdr:row>
          <xdr:rowOff>144780</xdr:rowOff>
        </xdr:from>
        <xdr:to>
          <xdr:col>31</xdr:col>
          <xdr:colOff>121920</xdr:colOff>
          <xdr:row>37</xdr:row>
          <xdr:rowOff>60960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solidFill>
              <a:srgbClr val="808080" mc:Ignorable="a14" a14:legacySpreadsheetColorIndex="23"/>
            </a:solidFill>
            <a:ln w="6350">
              <a:solidFill>
                <a:srgbClr val="000000" mc:Ignorable="a14" a14:legacySpreadsheetColorIndex="64"/>
              </a:solidFill>
              <a:miter lim="800000"/>
              <a:headEnd/>
              <a:tailEnd/>
            </a:ln>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Full TIA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30</xdr:col>
          <xdr:colOff>38100</xdr:colOff>
          <xdr:row>37</xdr:row>
          <xdr:rowOff>99060</xdr:rowOff>
        </xdr:from>
        <xdr:to>
          <xdr:col>31</xdr:col>
          <xdr:colOff>137160</xdr:colOff>
          <xdr:row>38</xdr:row>
          <xdr:rowOff>144780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solidFill>
              <a:srgbClr val="808080" mc:Ignorable="a14" a14:legacySpreadsheetColorIndex="23"/>
            </a:solidFill>
            <a:ln w="6350">
              <a:solidFill>
                <a:srgbClr val="000000" mc:Ignorable="a14" a14:legacySpreadsheetColorIndex="64"/>
              </a:solidFill>
              <a:miter lim="800000"/>
              <a:headEnd/>
              <a:tailEnd/>
            </a:ln>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31</xdr:col>
          <xdr:colOff>182880</xdr:colOff>
          <xdr:row>34</xdr:row>
          <xdr:rowOff>30480</xdr:rowOff>
        </xdr:from>
        <xdr:to>
          <xdr:col>32</xdr:col>
          <xdr:colOff>274320</xdr:colOff>
          <xdr:row>35</xdr:row>
          <xdr:rowOff>114300</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0100-00004C040000}"/>
                </a:ext>
              </a:extLst>
            </xdr:cNvPr>
            <xdr:cNvSpPr/>
          </xdr:nvSpPr>
          <xdr:spPr bwMode="auto">
            <a:xfrm>
              <a:off x="0" y="0"/>
              <a:ext cx="0" cy="0"/>
            </a:xfrm>
            <a:prstGeom prst="rect">
              <a:avLst/>
            </a:prstGeom>
            <a:solidFill>
              <a:srgbClr val="808080" mc:Ignorable="a14" a14:legacySpreadsheetColorIndex="23"/>
            </a:solidFill>
            <a:ln w="6350">
              <a:solidFill>
                <a:srgbClr val="000000" mc:Ignorable="a14" a14:legacySpreadsheetColorIndex="64"/>
              </a:solidFill>
              <a:miter lim="800000"/>
              <a:headEnd/>
              <a:tailEnd/>
            </a:ln>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ZTA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31</xdr:col>
          <xdr:colOff>175260</xdr:colOff>
          <xdr:row>35</xdr:row>
          <xdr:rowOff>144780</xdr:rowOff>
        </xdr:from>
        <xdr:to>
          <xdr:col>32</xdr:col>
          <xdr:colOff>266700</xdr:colOff>
          <xdr:row>37</xdr:row>
          <xdr:rowOff>60960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0100-00004D040000}"/>
                </a:ext>
              </a:extLst>
            </xdr:cNvPr>
            <xdr:cNvSpPr/>
          </xdr:nvSpPr>
          <xdr:spPr bwMode="auto">
            <a:xfrm>
              <a:off x="0" y="0"/>
              <a:ext cx="0" cy="0"/>
            </a:xfrm>
            <a:prstGeom prst="rect">
              <a:avLst/>
            </a:prstGeom>
            <a:solidFill>
              <a:srgbClr val="808080" mc:Ignorable="a14" a14:legacySpreadsheetColorIndex="23"/>
            </a:solidFill>
            <a:ln w="6350">
              <a:solidFill>
                <a:srgbClr val="000000" mc:Ignorable="a14" a14:legacySpreadsheetColorIndex="64"/>
              </a:solidFill>
              <a:miter lim="800000"/>
              <a:headEnd/>
              <a:tailEnd/>
            </a:ln>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TIA Update</a:t>
              </a:r>
            </a:p>
          </xdr:txBody>
        </xdr:sp>
        <xdr:clientData/>
      </xdr:twoCellAnchor>
    </mc:Choice>
    <mc:Fallback/>
  </mc:AlternateContent>
  <mc:AlternateContent xmlns:mc="http://schemas.openxmlformats.org/markup-compatibility/2006">
    <mc:Choice xmlns:a14="http://schemas.microsoft.com/office/drawing/2010/main" Requires="a14">
      <xdr:twoCellAnchor>
        <xdr:from>
          <xdr:col>31</xdr:col>
          <xdr:colOff>175260</xdr:colOff>
          <xdr:row>37</xdr:row>
          <xdr:rowOff>83820</xdr:rowOff>
        </xdr:from>
        <xdr:to>
          <xdr:col>32</xdr:col>
          <xdr:colOff>312420</xdr:colOff>
          <xdr:row>38</xdr:row>
          <xdr:rowOff>137160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0100-00004F040000}"/>
                </a:ext>
              </a:extLst>
            </xdr:cNvPr>
            <xdr:cNvSpPr/>
          </xdr:nvSpPr>
          <xdr:spPr bwMode="auto">
            <a:xfrm>
              <a:off x="0" y="0"/>
              <a:ext cx="0" cy="0"/>
            </a:xfrm>
            <a:prstGeom prst="rect">
              <a:avLst/>
            </a:prstGeom>
            <a:solidFill>
              <a:srgbClr val="808080" mc:Ignorable="a14" a14:legacySpreadsheetColorIndex="23"/>
            </a:solidFill>
            <a:ln w="6350">
              <a:solidFill>
                <a:srgbClr val="000000" mc:Ignorable="a14" a14:legacySpreadsheetColorIndex="64"/>
              </a:solidFill>
              <a:miter lim="800000"/>
              <a:headEnd/>
              <a:tailEnd/>
            </a:ln>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Compliance</a:t>
              </a:r>
            </a:p>
          </xdr:txBody>
        </xdr:sp>
        <xdr:clientData/>
      </xdr:twoCellAnchor>
    </mc:Choice>
    <mc:Fallback/>
  </mc:AlternateContent>
  <mc:AlternateContent xmlns:mc="http://schemas.openxmlformats.org/markup-compatibility/2006">
    <mc:Choice xmlns:a14="http://schemas.microsoft.com/office/drawing/2010/main" Requires="a14">
      <xdr:twoCellAnchor>
        <xdr:from>
          <xdr:col>32</xdr:col>
          <xdr:colOff>312420</xdr:colOff>
          <xdr:row>34</xdr:row>
          <xdr:rowOff>30480</xdr:rowOff>
        </xdr:from>
        <xdr:to>
          <xdr:col>33</xdr:col>
          <xdr:colOff>411480</xdr:colOff>
          <xdr:row>35</xdr:row>
          <xdr:rowOff>114300</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0100-000050040000}"/>
                </a:ext>
              </a:extLst>
            </xdr:cNvPr>
            <xdr:cNvSpPr/>
          </xdr:nvSpPr>
          <xdr:spPr bwMode="auto">
            <a:xfrm>
              <a:off x="0" y="0"/>
              <a:ext cx="0" cy="0"/>
            </a:xfrm>
            <a:prstGeom prst="rect">
              <a:avLst/>
            </a:prstGeom>
            <a:solidFill>
              <a:srgbClr val="808080" mc:Ignorable="a14" a14:legacySpreadsheetColorIndex="23"/>
            </a:solidFill>
            <a:ln w="6350">
              <a:solidFill>
                <a:srgbClr val="000000" mc:Ignorable="a14" a14:legacySpreadsheetColorIndex="64"/>
              </a:solidFill>
              <a:miter lim="800000"/>
              <a:headEnd/>
              <a:tailEnd/>
            </a:ln>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Not Req'd</a:t>
              </a:r>
            </a:p>
          </xdr:txBody>
        </xdr:sp>
        <xdr:clientData/>
      </xdr:twoCellAnchor>
    </mc:Choice>
    <mc:Fallback/>
  </mc:AlternateContent>
  <mc:AlternateContent xmlns:mc="http://schemas.openxmlformats.org/markup-compatibility/2006">
    <mc:Choice xmlns:a14="http://schemas.microsoft.com/office/drawing/2010/main" Requires="a14">
      <xdr:twoCellAnchor>
        <xdr:from>
          <xdr:col>32</xdr:col>
          <xdr:colOff>312420</xdr:colOff>
          <xdr:row>35</xdr:row>
          <xdr:rowOff>152400</xdr:rowOff>
        </xdr:from>
        <xdr:to>
          <xdr:col>33</xdr:col>
          <xdr:colOff>411480</xdr:colOff>
          <xdr:row>37</xdr:row>
          <xdr:rowOff>45720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solidFill>
              <a:srgbClr val="808080" mc:Ignorable="a14" a14:legacySpreadsheetColorIndex="23"/>
            </a:solidFill>
            <a:ln w="6350">
              <a:solidFill>
                <a:srgbClr val="000000" mc:Ignorable="a14" a14:legacySpreadsheetColorIndex="64"/>
              </a:solidFill>
              <a:miter lim="800000"/>
              <a:headEnd/>
              <a:tailEnd/>
            </a:ln>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TDM</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259080</xdr:colOff>
          <xdr:row>80</xdr:row>
          <xdr:rowOff>274320</xdr:rowOff>
        </xdr:from>
        <xdr:to>
          <xdr:col>13</xdr:col>
          <xdr:colOff>7620</xdr:colOff>
          <xdr:row>82</xdr:row>
          <xdr:rowOff>45720</xdr:rowOff>
        </xdr:to>
        <xdr:sp macro="" textlink="">
          <xdr:nvSpPr>
            <xdr:cNvPr id="1107" name="Button 83" hidden="1">
              <a:extLst>
                <a:ext uri="{63B3BB69-23CF-44E3-9099-C40C66FF867C}">
                  <a14:compatExt spid="_x0000_s1107"/>
                </a:ext>
                <a:ext uri="{FF2B5EF4-FFF2-40B4-BE49-F238E27FC236}">
                  <a16:creationId xmlns:a16="http://schemas.microsoft.com/office/drawing/2014/main" id="{00000000-0008-0000-0100-00005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Tims"/>
                </a:rPr>
                <a:t>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350520</xdr:colOff>
          <xdr:row>37</xdr:row>
          <xdr:rowOff>83820</xdr:rowOff>
        </xdr:from>
        <xdr:to>
          <xdr:col>33</xdr:col>
          <xdr:colOff>449580</xdr:colOff>
          <xdr:row>38</xdr:row>
          <xdr:rowOff>137160</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0100-000057040000}"/>
                </a:ext>
              </a:extLst>
            </xdr:cNvPr>
            <xdr:cNvSpPr/>
          </xdr:nvSpPr>
          <xdr:spPr bwMode="auto">
            <a:xfrm>
              <a:off x="0" y="0"/>
              <a:ext cx="0" cy="0"/>
            </a:xfrm>
            <a:prstGeom prst="rect">
              <a:avLst/>
            </a:prstGeom>
            <a:solidFill>
              <a:srgbClr val="808080" mc:Ignorable="a14" a14:legacySpreadsheetColorIndex="23"/>
            </a:solidFill>
            <a:ln w="6350">
              <a:solidFill>
                <a:srgbClr val="000000" mc:Ignorable="a14" a14:legacySpreadsheetColorIndex="64"/>
              </a:solidFill>
              <a:miter lim="800000"/>
              <a:headEnd/>
              <a:tailEnd/>
            </a:ln>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Waive</a:t>
              </a:r>
            </a:p>
          </xdr:txBody>
        </xdr:sp>
        <xdr:clientData/>
      </xdr:twoCellAnchor>
    </mc:Choice>
    <mc:Fallback/>
  </mc:AlternateContent>
  <xdr:twoCellAnchor>
    <xdr:from>
      <xdr:col>17</xdr:col>
      <xdr:colOff>398858</xdr:colOff>
      <xdr:row>35</xdr:row>
      <xdr:rowOff>0</xdr:rowOff>
    </xdr:from>
    <xdr:to>
      <xdr:col>22</xdr:col>
      <xdr:colOff>285749</xdr:colOff>
      <xdr:row>45</xdr:row>
      <xdr:rowOff>8659</xdr:rowOff>
    </xdr:to>
    <xdr:sp macro="" textlink="">
      <xdr:nvSpPr>
        <xdr:cNvPr id="4" name="ProposedTPWStaffArea">
          <a:extLst>
            <a:ext uri="{FF2B5EF4-FFF2-40B4-BE49-F238E27FC236}">
              <a16:creationId xmlns:a16="http://schemas.microsoft.com/office/drawing/2014/main" id="{12D9E8CC-71BA-4E44-8D93-993177437CC8}"/>
            </a:ext>
          </a:extLst>
        </xdr:cNvPr>
        <xdr:cNvSpPr/>
      </xdr:nvSpPr>
      <xdr:spPr>
        <a:xfrm>
          <a:off x="5256608" y="5238750"/>
          <a:ext cx="1482329" cy="1973190"/>
        </a:xfrm>
        <a:prstGeom prst="rect">
          <a:avLst/>
        </a:prstGeom>
        <a:solidFill>
          <a:schemeClr val="bg1">
            <a:lumMod val="85000"/>
          </a:schemeClr>
        </a:solidFill>
        <a:ln w="31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twoCellAnchor>
    <xdr:from>
      <xdr:col>17</xdr:col>
      <xdr:colOff>398859</xdr:colOff>
      <xdr:row>17</xdr:row>
      <xdr:rowOff>0</xdr:rowOff>
    </xdr:from>
    <xdr:to>
      <xdr:col>23</xdr:col>
      <xdr:colOff>2381</xdr:colOff>
      <xdr:row>25</xdr:row>
      <xdr:rowOff>0</xdr:rowOff>
    </xdr:to>
    <xdr:sp macro="" textlink="">
      <xdr:nvSpPr>
        <xdr:cNvPr id="5" name="ExistingTPWStaffArea">
          <a:extLst>
            <a:ext uri="{FF2B5EF4-FFF2-40B4-BE49-F238E27FC236}">
              <a16:creationId xmlns:a16="http://schemas.microsoft.com/office/drawing/2014/main" id="{B5557ACE-8B18-415F-85B4-D09838B6623E}"/>
            </a:ext>
          </a:extLst>
        </xdr:cNvPr>
        <xdr:cNvSpPr/>
      </xdr:nvSpPr>
      <xdr:spPr>
        <a:xfrm>
          <a:off x="5256609" y="2631281"/>
          <a:ext cx="1484710" cy="1988344"/>
        </a:xfrm>
        <a:prstGeom prst="rect">
          <a:avLst/>
        </a:prstGeom>
        <a:solidFill>
          <a:schemeClr val="bg1">
            <a:lumMod val="85000"/>
          </a:schemeClr>
        </a:solidFill>
        <a:ln w="31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mc:AlternateContent xmlns:mc="http://schemas.openxmlformats.org/markup-compatibility/2006">
    <mc:Choice xmlns:a14="http://schemas.microsoft.com/office/drawing/2010/main" Requires="a14">
      <xdr:twoCellAnchor>
        <xdr:from>
          <xdr:col>24</xdr:col>
          <xdr:colOff>266700</xdr:colOff>
          <xdr:row>1</xdr:row>
          <xdr:rowOff>38100</xdr:rowOff>
        </xdr:from>
        <xdr:to>
          <xdr:col>25</xdr:col>
          <xdr:colOff>342900</xdr:colOff>
          <xdr:row>2</xdr:row>
          <xdr:rowOff>30480</xdr:rowOff>
        </xdr:to>
        <xdr:sp macro="" textlink="">
          <xdr:nvSpPr>
            <xdr:cNvPr id="1116" name="Button 92"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Tims"/>
                </a:rPr>
                <a:t>Print (Staff)</a:t>
              </a:r>
            </a:p>
          </xdr:txBody>
        </xdr:sp>
        <xdr:clientData fPrintsWithSheet="0"/>
      </xdr:twoCellAnchor>
    </mc:Choice>
    <mc:Fallback/>
  </mc:AlternateContent>
  <xdr:twoCellAnchor>
    <xdr:from>
      <xdr:col>17</xdr:col>
      <xdr:colOff>310331</xdr:colOff>
      <xdr:row>29</xdr:row>
      <xdr:rowOff>0</xdr:rowOff>
    </xdr:from>
    <xdr:to>
      <xdr:col>23</xdr:col>
      <xdr:colOff>5366</xdr:colOff>
      <xdr:row>32</xdr:row>
      <xdr:rowOff>0</xdr:rowOff>
    </xdr:to>
    <xdr:sp macro="" textlink="">
      <xdr:nvSpPr>
        <xdr:cNvPr id="2" name="ExistingTPWStaffAreaCustom">
          <a:extLst>
            <a:ext uri="{FF2B5EF4-FFF2-40B4-BE49-F238E27FC236}">
              <a16:creationId xmlns:a16="http://schemas.microsoft.com/office/drawing/2014/main" id="{B32A6DAD-A9E3-DED1-F0E3-D98C8C4275DD}"/>
            </a:ext>
          </a:extLst>
        </xdr:cNvPr>
        <xdr:cNvSpPr/>
      </xdr:nvSpPr>
      <xdr:spPr>
        <a:xfrm>
          <a:off x="5256142" y="4288047"/>
          <a:ext cx="1499394" cy="452887"/>
        </a:xfrm>
        <a:prstGeom prst="rect">
          <a:avLst/>
        </a:prstGeom>
        <a:solidFill>
          <a:schemeClr val="bg1">
            <a:lumMod val="85000"/>
          </a:schemeClr>
        </a:solidFill>
        <a:ln w="31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xdr:twoCellAnchor>
    <xdr:from>
      <xdr:col>17</xdr:col>
      <xdr:colOff>311240</xdr:colOff>
      <xdr:row>47</xdr:row>
      <xdr:rowOff>0</xdr:rowOff>
    </xdr:from>
    <xdr:to>
      <xdr:col>22</xdr:col>
      <xdr:colOff>287091</xdr:colOff>
      <xdr:row>50</xdr:row>
      <xdr:rowOff>0</xdr:rowOff>
    </xdr:to>
    <xdr:sp macro="" textlink="">
      <xdr:nvSpPr>
        <xdr:cNvPr id="6" name="ProposedTPWStaffAreaCustom">
          <a:extLst>
            <a:ext uri="{FF2B5EF4-FFF2-40B4-BE49-F238E27FC236}">
              <a16:creationId xmlns:a16="http://schemas.microsoft.com/office/drawing/2014/main" id="{310D7D54-66A9-4C50-BC10-CC1E957969D4}"/>
            </a:ext>
          </a:extLst>
        </xdr:cNvPr>
        <xdr:cNvSpPr/>
      </xdr:nvSpPr>
      <xdr:spPr>
        <a:xfrm>
          <a:off x="5261557" y="6858000"/>
          <a:ext cx="1494485" cy="458810"/>
        </a:xfrm>
        <a:prstGeom prst="rect">
          <a:avLst/>
        </a:prstGeom>
        <a:solidFill>
          <a:schemeClr val="bg1">
            <a:lumMod val="85000"/>
          </a:schemeClr>
        </a:solidFill>
        <a:ln w="3175"/>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mc:AlternateContent xmlns:mc="http://schemas.openxmlformats.org/markup-compatibility/2006">
    <mc:Choice xmlns:a14="http://schemas.microsoft.com/office/drawing/2010/main" Requires="a14">
      <xdr:twoCellAnchor>
        <xdr:from>
          <xdr:col>29</xdr:col>
          <xdr:colOff>7620</xdr:colOff>
          <xdr:row>21</xdr:row>
          <xdr:rowOff>38100</xdr:rowOff>
        </xdr:from>
        <xdr:to>
          <xdr:col>34</xdr:col>
          <xdr:colOff>297180</xdr:colOff>
          <xdr:row>23</xdr:row>
          <xdr:rowOff>22860</xdr:rowOff>
        </xdr:to>
        <xdr:sp macro="" textlink="">
          <xdr:nvSpPr>
            <xdr:cNvPr id="1118" name="ChckBx_TIA" hidden="1">
              <a:extLst>
                <a:ext uri="{63B3BB69-23CF-44E3-9099-C40C66FF867C}">
                  <a14:compatExt spid="_x0000_s1118"/>
                </a:ext>
                <a:ext uri="{FF2B5EF4-FFF2-40B4-BE49-F238E27FC236}">
                  <a16:creationId xmlns:a16="http://schemas.microsoft.com/office/drawing/2014/main" id="{00000000-0008-0000-0100-00005E040000}"/>
                </a:ext>
              </a:extLst>
            </xdr:cNvPr>
            <xdr:cNvSpPr/>
          </xdr:nvSpPr>
          <xdr:spPr bwMode="auto">
            <a:xfrm>
              <a:off x="0" y="0"/>
              <a:ext cx="0" cy="0"/>
            </a:xfrm>
            <a:prstGeom prst="rect">
              <a:avLst/>
            </a:prstGeom>
            <a:solidFill>
              <a:srgbClr val="FFFF00" mc:Ignorable="a14" a14:legacySpreadsheetColorIndex="13"/>
            </a:solidFill>
            <a:ln w="6350">
              <a:solidFill>
                <a:srgbClr val="000000" mc:Ignorable="a14" a14:legacySpreadsheetColorIndex="64"/>
              </a:solidFill>
              <a:miter lim="800000"/>
              <a:headEnd/>
              <a:tailEnd/>
            </a:ln>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I confirm I've looked through this section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24</xdr:col>
          <xdr:colOff>274320</xdr:colOff>
          <xdr:row>2</xdr:row>
          <xdr:rowOff>68580</xdr:rowOff>
        </xdr:from>
        <xdr:to>
          <xdr:col>25</xdr:col>
          <xdr:colOff>350520</xdr:colOff>
          <xdr:row>3</xdr:row>
          <xdr:rowOff>114300</xdr:rowOff>
        </xdr:to>
        <xdr:sp macro="" textlink="">
          <xdr:nvSpPr>
            <xdr:cNvPr id="1122" name="Button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Tims"/>
                </a:rPr>
                <a:t>Reset Form</a:t>
              </a:r>
            </a:p>
          </xdr:txBody>
        </xdr:sp>
        <xdr:clientData fPrintsWithSheet="0"/>
      </xdr:twoCellAnchor>
    </mc:Choice>
    <mc:Fallback/>
  </mc:AlternateContent>
  <xdr:twoCellAnchor>
    <xdr:from>
      <xdr:col>19</xdr:col>
      <xdr:colOff>8334</xdr:colOff>
      <xdr:row>50</xdr:row>
      <xdr:rowOff>142875</xdr:rowOff>
    </xdr:from>
    <xdr:to>
      <xdr:col>22</xdr:col>
      <xdr:colOff>279797</xdr:colOff>
      <xdr:row>51</xdr:row>
      <xdr:rowOff>153592</xdr:rowOff>
    </xdr:to>
    <xdr:sp macro="" textlink="">
      <xdr:nvSpPr>
        <xdr:cNvPr id="7" name="NetTrips">
          <a:extLst>
            <a:ext uri="{FF2B5EF4-FFF2-40B4-BE49-F238E27FC236}">
              <a16:creationId xmlns:a16="http://schemas.microsoft.com/office/drawing/2014/main" id="{B10D1232-8123-47B2-BA40-2B772A8B3F09}"/>
            </a:ext>
          </a:extLst>
        </xdr:cNvPr>
        <xdr:cNvSpPr/>
      </xdr:nvSpPr>
      <xdr:spPr>
        <a:xfrm>
          <a:off x="5568553" y="7500938"/>
          <a:ext cx="1164432" cy="165498"/>
        </a:xfrm>
        <a:prstGeom prst="rect">
          <a:avLst/>
        </a:prstGeom>
        <a:solidFill>
          <a:schemeClr val="bg1">
            <a:lumMod val="85000"/>
          </a:schemeClr>
        </a:solidFill>
        <a:ln w="3175">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kern="1200"/>
        </a:p>
      </xdr:txBody>
    </xdr:sp>
    <xdr:clientData/>
  </xdr:twoCellAnchor>
  <mc:AlternateContent xmlns:mc="http://schemas.openxmlformats.org/markup-compatibility/2006">
    <mc:Choice xmlns:a14="http://schemas.microsoft.com/office/drawing/2010/main" Requires="a14">
      <xdr:twoCellAnchor>
        <xdr:from>
          <xdr:col>21</xdr:col>
          <xdr:colOff>30480</xdr:colOff>
          <xdr:row>1</xdr:row>
          <xdr:rowOff>22860</xdr:rowOff>
        </xdr:from>
        <xdr:to>
          <xdr:col>23</xdr:col>
          <xdr:colOff>30480</xdr:colOff>
          <xdr:row>1</xdr:row>
          <xdr:rowOff>198120</xdr:rowOff>
        </xdr:to>
        <xdr:sp macro="" textlink="">
          <xdr:nvSpPr>
            <xdr:cNvPr id="1127" name="Button 103" hidden="1">
              <a:extLst>
                <a:ext uri="{63B3BB69-23CF-44E3-9099-C40C66FF867C}">
                  <a14:compatExt spid="_x0000_s1127"/>
                </a:ext>
                <a:ext uri="{FF2B5EF4-FFF2-40B4-BE49-F238E27FC236}">
                  <a16:creationId xmlns:a16="http://schemas.microsoft.com/office/drawing/2014/main" id="{00000000-0008-0000-0100-00006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700" b="0" i="0" u="none" strike="noStrike" baseline="0">
                  <a:solidFill>
                    <a:srgbClr val="000000"/>
                  </a:solidFill>
                  <a:latin typeface="Tims"/>
                </a:rPr>
                <a:t>Extra Existing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312420</xdr:colOff>
          <xdr:row>4</xdr:row>
          <xdr:rowOff>30480</xdr:rowOff>
        </xdr:from>
        <xdr:to>
          <xdr:col>25</xdr:col>
          <xdr:colOff>274320</xdr:colOff>
          <xdr:row>7</xdr:row>
          <xdr:rowOff>45720</xdr:rowOff>
        </xdr:to>
        <xdr:sp macro="" textlink="">
          <xdr:nvSpPr>
            <xdr:cNvPr id="1128" name="Button 104" hidden="1">
              <a:extLst>
                <a:ext uri="{63B3BB69-23CF-44E3-9099-C40C66FF867C}">
                  <a14:compatExt spid="_x0000_s1128"/>
                </a:ext>
                <a:ext uri="{FF2B5EF4-FFF2-40B4-BE49-F238E27FC236}">
                  <a16:creationId xmlns:a16="http://schemas.microsoft.com/office/drawing/2014/main" id="{00000000-0008-0000-0100-00006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Tims"/>
                </a:rPr>
                <a:t>Custom Existing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350520</xdr:colOff>
          <xdr:row>4</xdr:row>
          <xdr:rowOff>30480</xdr:rowOff>
        </xdr:from>
        <xdr:to>
          <xdr:col>26</xdr:col>
          <xdr:colOff>312420</xdr:colOff>
          <xdr:row>7</xdr:row>
          <xdr:rowOff>45720</xdr:rowOff>
        </xdr:to>
        <xdr:sp macro="" textlink="">
          <xdr:nvSpPr>
            <xdr:cNvPr id="1129" name="Button 105" hidden="1">
              <a:extLst>
                <a:ext uri="{63B3BB69-23CF-44E3-9099-C40C66FF867C}">
                  <a14:compatExt spid="_x0000_s1129"/>
                </a:ext>
                <a:ext uri="{FF2B5EF4-FFF2-40B4-BE49-F238E27FC236}">
                  <a16:creationId xmlns:a16="http://schemas.microsoft.com/office/drawing/2014/main" id="{00000000-0008-0000-0100-00006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Tims"/>
                </a:rPr>
                <a:t>Custom Proposed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30480</xdr:colOff>
          <xdr:row>1</xdr:row>
          <xdr:rowOff>198120</xdr:rowOff>
        </xdr:from>
        <xdr:to>
          <xdr:col>23</xdr:col>
          <xdr:colOff>30480</xdr:colOff>
          <xdr:row>3</xdr:row>
          <xdr:rowOff>121920</xdr:rowOff>
        </xdr:to>
        <xdr:sp macro="" textlink="">
          <xdr:nvSpPr>
            <xdr:cNvPr id="1130" name="Button 106" hidden="1">
              <a:extLst>
                <a:ext uri="{63B3BB69-23CF-44E3-9099-C40C66FF867C}">
                  <a14:compatExt spid="_x0000_s1130"/>
                </a:ext>
                <a:ext uri="{FF2B5EF4-FFF2-40B4-BE49-F238E27FC236}">
                  <a16:creationId xmlns:a16="http://schemas.microsoft.com/office/drawing/2014/main" id="{00000000-0008-0000-0100-00006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700" b="0" i="0" u="none" strike="noStrike" baseline="0">
                  <a:solidFill>
                    <a:srgbClr val="000000"/>
                  </a:solidFill>
                  <a:latin typeface="Tims"/>
                </a:rPr>
                <a:t>Extra Proposed Rows</a:t>
              </a:r>
            </a:p>
          </xdr:txBody>
        </xdr:sp>
        <xdr:clientData fPrintsWithSheet="0"/>
      </xdr:twoCellAnchor>
    </mc:Choice>
    <mc:Fallback/>
  </mc:AlternateContent>
  <xdr:twoCellAnchor>
    <xdr:from>
      <xdr:col>28</xdr:col>
      <xdr:colOff>250031</xdr:colOff>
      <xdr:row>17</xdr:row>
      <xdr:rowOff>65485</xdr:rowOff>
    </xdr:from>
    <xdr:to>
      <xdr:col>33</xdr:col>
      <xdr:colOff>221955</xdr:colOff>
      <xdr:row>18</xdr:row>
      <xdr:rowOff>242926</xdr:rowOff>
    </xdr:to>
    <xdr:sp macro="" textlink="">
      <xdr:nvSpPr>
        <xdr:cNvPr id="8" name="TextBox 7">
          <a:extLst>
            <a:ext uri="{FF2B5EF4-FFF2-40B4-BE49-F238E27FC236}">
              <a16:creationId xmlns:a16="http://schemas.microsoft.com/office/drawing/2014/main" id="{E62BE1DA-E177-4749-99B3-A48E7D93121D}"/>
            </a:ext>
          </a:extLst>
        </xdr:cNvPr>
        <xdr:cNvSpPr txBox="1"/>
      </xdr:nvSpPr>
      <xdr:spPr>
        <a:xfrm>
          <a:off x="9465469" y="2696766"/>
          <a:ext cx="3008017" cy="427473"/>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kern="1200">
              <a:latin typeface="Times New Roman" panose="02020603050405020304" pitchFamily="18" charset="0"/>
              <a:cs typeface="Times New Roman" panose="02020603050405020304" pitchFamily="18" charset="0"/>
            </a:rPr>
            <a:t>For NTA: Is Zoning indicative of Residential Local/Collector City Road as per LDC, i.e. (SF-5 or more restrictive)?</a:t>
          </a:r>
        </a:p>
      </xdr:txBody>
    </xdr:sp>
    <xdr:clientData/>
  </xdr:twoCellAnchor>
  <mc:AlternateContent xmlns:mc="http://schemas.openxmlformats.org/markup-compatibility/2006">
    <mc:Choice xmlns:a14="http://schemas.microsoft.com/office/drawing/2010/main" Requires="a14">
      <xdr:twoCellAnchor>
        <xdr:from>
          <xdr:col>34</xdr:col>
          <xdr:colOff>99060</xdr:colOff>
          <xdr:row>17</xdr:row>
          <xdr:rowOff>45720</xdr:rowOff>
        </xdr:from>
        <xdr:to>
          <xdr:col>34</xdr:col>
          <xdr:colOff>480060</xdr:colOff>
          <xdr:row>19</xdr:row>
          <xdr:rowOff>7620</xdr:rowOff>
        </xdr:to>
        <xdr:sp macro="" textlink="">
          <xdr:nvSpPr>
            <xdr:cNvPr id="1131" name="ChckBx_RestrictiveZoning" hidden="1">
              <a:extLst>
                <a:ext uri="{63B3BB69-23CF-44E3-9099-C40C66FF867C}">
                  <a14:compatExt spid="_x0000_s1131"/>
                </a:ext>
                <a:ext uri="{FF2B5EF4-FFF2-40B4-BE49-F238E27FC236}">
                  <a16:creationId xmlns:a16="http://schemas.microsoft.com/office/drawing/2014/main" id="{00000000-0008-0000-0100-00006B040000}"/>
                </a:ext>
              </a:extLst>
            </xdr:cNvPr>
            <xdr:cNvSpPr/>
          </xdr:nvSpPr>
          <xdr:spPr bwMode="auto">
            <a:xfrm>
              <a:off x="0" y="0"/>
              <a:ext cx="0" cy="0"/>
            </a:xfrm>
            <a:prstGeom prst="rect">
              <a:avLst/>
            </a:prstGeom>
            <a:solidFill>
              <a:srgbClr val="808080" mc:Ignorable="a14" a14:legacySpreadsheetColorIndex="23"/>
            </a:solidFill>
            <a:ln w="9525">
              <a:solidFill>
                <a:srgbClr val="000000" mc:Ignorable="a14" a14:legacySpreadsheetColorIndex="64"/>
              </a:solidFill>
              <a:miter lim="800000"/>
              <a:headEnd/>
              <a:tailEnd/>
            </a:ln>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No</a:t>
              </a:r>
            </a:p>
          </xdr:txBody>
        </xdr:sp>
        <xdr:clientData/>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hyperlink" Target="https://www.austintexas.gov/department/austin-strategic-mobility-plan" TargetMode="External"/><Relationship Id="rId1" Type="http://schemas.openxmlformats.org/officeDocument/2006/relationships/hyperlink" Target="https://www.austintexas.gov/department/street-impact-fee"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hyperlink" Target="https://www.austintexas.gov/department/transportation-development-services" TargetMode="External"/><Relationship Id="rId21" Type="http://schemas.openxmlformats.org/officeDocument/2006/relationships/ctrlProp" Target="../ctrlProps/ctrlProp14.xml"/><Relationship Id="rId7" Type="http://schemas.openxmlformats.org/officeDocument/2006/relationships/vmlDrawing" Target="../drawings/vmlDrawing1.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hyperlink" Target="http://www.austintexas.gov/department/street-impact-fee" TargetMode="Externa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1" Type="http://schemas.openxmlformats.org/officeDocument/2006/relationships/hyperlink" Target="https://atd.knack.com/development-services" TargetMode="External"/><Relationship Id="rId6" Type="http://schemas.openxmlformats.org/officeDocument/2006/relationships/drawing" Target="../drawings/drawing1.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5" Type="http://schemas.openxmlformats.org/officeDocument/2006/relationships/printerSettings" Target="../printerSettings/printerSettings1.bin"/><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 Type="http://schemas.openxmlformats.org/officeDocument/2006/relationships/hyperlink" Target="https://atd.knack.com/development-services" TargetMode="Externa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B1DB9-0244-435F-8F04-C18979EFE920}">
  <sheetPr codeName="Sheet3">
    <tabColor rgb="FFFFC000"/>
  </sheetPr>
  <dimension ref="B1:J16"/>
  <sheetViews>
    <sheetView showGridLines="0" tabSelected="1" topLeftCell="B1" workbookViewId="0">
      <selection activeCell="B2" sqref="B2"/>
    </sheetView>
  </sheetViews>
  <sheetFormatPr defaultColWidth="0" defaultRowHeight="14.4" zeroHeight="1"/>
  <cols>
    <col min="1" max="1" width="9.109375" style="7" customWidth="1"/>
    <col min="2" max="2" width="255.6640625" style="7" bestFit="1" customWidth="1"/>
    <col min="3" max="5" width="9.109375" style="7" customWidth="1"/>
    <col min="6" max="6" width="10.44140625" style="7" bestFit="1" customWidth="1"/>
    <col min="7" max="27" width="9.109375" style="7" customWidth="1"/>
    <col min="28" max="16384" width="0" style="7" hidden="1"/>
  </cols>
  <sheetData>
    <row r="1" spans="2:10"/>
    <row r="2" spans="2:10" ht="36.6">
      <c r="B2" s="6" t="s">
        <v>492</v>
      </c>
      <c r="C2" s="7" t="s">
        <v>679</v>
      </c>
      <c r="F2" s="8">
        <v>46104</v>
      </c>
      <c r="H2" s="7" t="s">
        <v>680</v>
      </c>
      <c r="J2" s="7" t="s">
        <v>693</v>
      </c>
    </row>
    <row r="3" spans="2:10"/>
    <row r="4" spans="2:10" ht="23.4">
      <c r="B4" s="9" t="s">
        <v>681</v>
      </c>
    </row>
    <row r="5" spans="2:10" ht="23.4">
      <c r="B5" s="9" t="s">
        <v>682</v>
      </c>
    </row>
    <row r="6" spans="2:10" ht="23.4">
      <c r="B6" s="9" t="s">
        <v>683</v>
      </c>
    </row>
    <row r="7" spans="2:10" ht="23.4">
      <c r="B7" s="10" t="s">
        <v>652</v>
      </c>
    </row>
    <row r="8" spans="2:10" ht="23.4">
      <c r="B8" s="11" t="s">
        <v>653</v>
      </c>
    </row>
    <row r="9" spans="2:10" ht="23.4">
      <c r="B9" s="10" t="s">
        <v>654</v>
      </c>
    </row>
    <row r="10" spans="2:10" ht="23.4">
      <c r="B10" s="10" t="s">
        <v>687</v>
      </c>
    </row>
    <row r="11" spans="2:10" ht="23.4">
      <c r="B11" s="10" t="s">
        <v>655</v>
      </c>
    </row>
    <row r="12" spans="2:10" ht="23.4">
      <c r="B12" s="10" t="s">
        <v>685</v>
      </c>
    </row>
    <row r="13" spans="2:10" ht="23.4">
      <c r="B13" s="10" t="s">
        <v>686</v>
      </c>
    </row>
    <row r="14" spans="2:10"/>
    <row r="15" spans="2:10" ht="23.4">
      <c r="B15" s="10" t="s">
        <v>667</v>
      </c>
    </row>
    <row r="16" spans="2:10"/>
  </sheetData>
  <sheetProtection algorithmName="SHA-512" hashValue="CKmWYIQK6A+sz8W26DBMj/t7xBbkuCOLLfMFRihr4+yMFJiWymWM8Rx+e+d5RS9WdUPVmW4bp2jncaNCl8Nc5w==" saltValue="dYtvCT9rqX+7GrVhKDUzow==" spinCount="100000" sheet="1" objects="1" scenarios="1"/>
  <hyperlinks>
    <hyperlink ref="B8" r:id="rId1" xr:uid="{5A9D98C8-AE46-4E4D-94AA-DF99D66D9D51}"/>
    <hyperlink ref="B13" r:id="rId2" xr:uid="{1FDEF879-F086-48AA-B9BC-2D90771143CF}"/>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1169E-3281-4048-A46F-34D133EC3D50}">
  <sheetPr codeName="Sheet1">
    <tabColor rgb="FF00B050"/>
  </sheetPr>
  <dimension ref="A1:AL86"/>
  <sheetViews>
    <sheetView showGridLines="0" zoomScale="190" zoomScaleNormal="190" zoomScaleSheetLayoutView="140" workbookViewId="0">
      <selection activeCell="D4" sqref="D4:M4"/>
    </sheetView>
  </sheetViews>
  <sheetFormatPr defaultColWidth="0" defaultRowHeight="12" zeroHeight="1"/>
  <cols>
    <col min="1" max="1" width="0.5546875" style="19" customWidth="1"/>
    <col min="2" max="8" width="4.5546875" style="19" customWidth="1"/>
    <col min="9" max="14" width="4.44140625" style="19" customWidth="1"/>
    <col min="15" max="17" width="4.5546875" style="19" customWidth="1"/>
    <col min="18" max="18" width="6" style="19" customWidth="1"/>
    <col min="19" max="21" width="4.5546875" style="19" customWidth="1"/>
    <col min="22" max="23" width="4.33203125" style="19" customWidth="1"/>
    <col min="24" max="24" width="0.6640625" style="19" customWidth="1"/>
    <col min="25" max="38" width="9.109375" style="19" hidden="1" customWidth="1"/>
    <col min="39" max="16384" width="0" style="19" hidden="1"/>
  </cols>
  <sheetData>
    <row r="1" spans="1:38" ht="16.5" customHeight="1">
      <c r="A1" s="12"/>
      <c r="B1" s="13"/>
      <c r="C1" s="13"/>
      <c r="D1" s="13"/>
      <c r="E1" s="13"/>
      <c r="F1" s="13"/>
      <c r="G1" s="14" t="s">
        <v>0</v>
      </c>
      <c r="H1" s="13"/>
      <c r="I1" s="13"/>
      <c r="J1" s="13"/>
      <c r="K1" s="13"/>
      <c r="L1" s="13"/>
      <c r="M1" s="13"/>
      <c r="N1" s="13"/>
      <c r="O1" s="14"/>
      <c r="P1" s="14"/>
      <c r="Q1" s="14"/>
      <c r="R1" s="14"/>
      <c r="S1" s="14"/>
      <c r="T1" s="14"/>
      <c r="U1" s="14"/>
      <c r="V1" s="14"/>
      <c r="W1" s="15"/>
      <c r="X1" s="16"/>
      <c r="Y1" s="17"/>
      <c r="Z1" s="18"/>
      <c r="AC1" s="20"/>
      <c r="AD1" s="20"/>
      <c r="AE1" s="20"/>
      <c r="AF1" s="20"/>
      <c r="AG1" s="20"/>
      <c r="AH1" s="20"/>
      <c r="AI1" s="20"/>
      <c r="AJ1" s="20"/>
      <c r="AK1" s="20"/>
      <c r="AL1" s="20"/>
    </row>
    <row r="2" spans="1:38" ht="16.5" customHeight="1">
      <c r="A2" s="21"/>
      <c r="B2" s="132" t="s">
        <v>668</v>
      </c>
      <c r="C2" s="132"/>
      <c r="D2" s="132"/>
      <c r="E2" s="132"/>
      <c r="F2" s="132"/>
      <c r="G2" s="132"/>
      <c r="H2" s="132"/>
      <c r="I2" s="132"/>
      <c r="J2" s="132"/>
      <c r="K2" s="132"/>
      <c r="L2" s="132"/>
      <c r="M2" s="132"/>
      <c r="N2" s="132"/>
      <c r="O2" s="132"/>
      <c r="P2" s="132"/>
      <c r="Q2" s="132"/>
      <c r="R2" s="132"/>
      <c r="S2" s="132"/>
      <c r="T2" s="22"/>
      <c r="U2" s="22"/>
      <c r="V2" s="22"/>
      <c r="W2" s="22"/>
      <c r="X2" s="23"/>
      <c r="Y2" s="24"/>
      <c r="Z2" s="18"/>
      <c r="AB2" s="2"/>
      <c r="AC2" s="20"/>
      <c r="AD2" s="131" t="s">
        <v>692</v>
      </c>
      <c r="AE2" s="131"/>
      <c r="AF2" s="131"/>
      <c r="AG2" s="131"/>
      <c r="AH2" s="131"/>
      <c r="AI2" s="20"/>
      <c r="AJ2" s="20" t="b">
        <v>0</v>
      </c>
      <c r="AK2" s="20"/>
      <c r="AL2" s="20"/>
    </row>
    <row r="3" spans="1:38" ht="12" customHeight="1">
      <c r="A3" s="21"/>
      <c r="B3" s="25" t="s">
        <v>423</v>
      </c>
      <c r="C3" s="18"/>
      <c r="D3" s="18"/>
      <c r="E3" s="18"/>
      <c r="F3" s="18"/>
      <c r="G3" s="18"/>
      <c r="H3" s="18"/>
      <c r="I3" s="18"/>
      <c r="J3" s="18"/>
      <c r="K3" s="18"/>
      <c r="L3" s="18"/>
      <c r="M3" s="18"/>
      <c r="N3" s="18"/>
      <c r="O3" s="18"/>
      <c r="P3" s="18"/>
      <c r="Q3" s="18"/>
      <c r="R3" s="18"/>
      <c r="S3" s="26" t="s">
        <v>419</v>
      </c>
      <c r="T3" s="18"/>
      <c r="U3" s="18"/>
      <c r="V3" s="18"/>
      <c r="W3" s="22"/>
      <c r="X3" s="23"/>
      <c r="Y3" s="24"/>
      <c r="Z3" s="18"/>
      <c r="AB3" s="2"/>
      <c r="AC3" s="20"/>
      <c r="AD3" s="20"/>
      <c r="AE3" s="20"/>
      <c r="AF3" s="20"/>
      <c r="AG3" s="20"/>
      <c r="AH3" s="20"/>
      <c r="AI3" s="20"/>
      <c r="AJ3" s="20"/>
      <c r="AK3" s="20"/>
      <c r="AL3" s="20"/>
    </row>
    <row r="4" spans="1:38" ht="12" customHeight="1">
      <c r="A4" s="21"/>
      <c r="B4" s="145" t="s">
        <v>406</v>
      </c>
      <c r="C4" s="146"/>
      <c r="D4" s="144"/>
      <c r="E4" s="105"/>
      <c r="F4" s="105"/>
      <c r="G4" s="105"/>
      <c r="H4" s="105"/>
      <c r="I4" s="105"/>
      <c r="J4" s="105"/>
      <c r="K4" s="105"/>
      <c r="L4" s="105"/>
      <c r="M4" s="106"/>
      <c r="N4" s="22"/>
      <c r="O4" s="27"/>
      <c r="P4" s="22"/>
      <c r="Q4" s="22"/>
      <c r="R4" s="18"/>
      <c r="S4" s="18"/>
      <c r="T4" s="18"/>
      <c r="U4" s="18"/>
      <c r="V4" s="18"/>
      <c r="W4" s="18"/>
      <c r="X4" s="28"/>
      <c r="Y4" s="24"/>
      <c r="Z4" s="18"/>
      <c r="AB4" s="2"/>
      <c r="AC4" s="20"/>
      <c r="AD4" s="20"/>
      <c r="AE4" s="20"/>
      <c r="AF4" s="20"/>
      <c r="AG4" s="20"/>
      <c r="AH4" s="20"/>
      <c r="AI4" s="20"/>
      <c r="AJ4" s="20"/>
      <c r="AK4" s="20"/>
      <c r="AL4" s="20"/>
    </row>
    <row r="5" spans="1:38" ht="12" customHeight="1">
      <c r="A5" s="21"/>
      <c r="B5" s="145" t="s">
        <v>1</v>
      </c>
      <c r="C5" s="146"/>
      <c r="D5" s="157"/>
      <c r="E5" s="105"/>
      <c r="F5" s="105"/>
      <c r="G5" s="105"/>
      <c r="H5" s="105"/>
      <c r="I5" s="105"/>
      <c r="J5" s="105"/>
      <c r="K5" s="105"/>
      <c r="L5" s="105"/>
      <c r="M5" s="106"/>
      <c r="N5" s="18"/>
      <c r="O5" s="18"/>
      <c r="P5" s="18"/>
      <c r="Q5" s="18"/>
      <c r="R5" s="89" t="s">
        <v>486</v>
      </c>
      <c r="S5" s="101"/>
      <c r="T5" s="102"/>
      <c r="U5" s="102"/>
      <c r="V5" s="102"/>
      <c r="W5" s="103"/>
      <c r="X5" s="28"/>
      <c r="Y5" s="24"/>
      <c r="Z5" s="18"/>
      <c r="AB5" s="2"/>
      <c r="AC5" s="20"/>
      <c r="AD5" s="20"/>
      <c r="AE5" s="20"/>
      <c r="AF5" s="20"/>
      <c r="AG5" s="20"/>
      <c r="AH5" s="20"/>
      <c r="AI5" s="20"/>
      <c r="AJ5" s="20" t="b">
        <v>0</v>
      </c>
      <c r="AK5" s="20"/>
      <c r="AL5" s="20"/>
    </row>
    <row r="6" spans="1:38" ht="12" customHeight="1">
      <c r="A6" s="21"/>
      <c r="B6" s="4" t="b">
        <v>0</v>
      </c>
      <c r="C6" s="159" t="s">
        <v>671</v>
      </c>
      <c r="D6" s="159"/>
      <c r="E6" s="160"/>
      <c r="F6" s="25"/>
      <c r="G6" s="29" t="s">
        <v>451</v>
      </c>
      <c r="H6" s="104"/>
      <c r="I6" s="105"/>
      <c r="J6" s="105"/>
      <c r="K6" s="106"/>
      <c r="L6" s="18"/>
      <c r="M6" s="4" t="b">
        <v>0</v>
      </c>
      <c r="N6" s="159" t="s">
        <v>672</v>
      </c>
      <c r="O6" s="159"/>
      <c r="P6" s="160"/>
      <c r="Q6" s="120" t="s">
        <v>673</v>
      </c>
      <c r="R6" s="120"/>
      <c r="S6" s="120"/>
      <c r="T6" s="121"/>
      <c r="U6" s="101"/>
      <c r="V6" s="102"/>
      <c r="W6" s="103"/>
      <c r="X6" s="28"/>
      <c r="Y6" s="24"/>
      <c r="Z6" s="18"/>
      <c r="AB6" s="2"/>
      <c r="AC6" s="20"/>
      <c r="AD6" s="20"/>
      <c r="AE6" s="20"/>
      <c r="AF6" s="20"/>
      <c r="AG6" s="20"/>
      <c r="AH6" s="20"/>
      <c r="AI6" s="20"/>
      <c r="AJ6" s="20"/>
      <c r="AK6" s="20"/>
      <c r="AL6" s="20"/>
    </row>
    <row r="7" spans="1:38" ht="12" customHeight="1">
      <c r="A7" s="21"/>
      <c r="B7" s="155" t="s">
        <v>675</v>
      </c>
      <c r="C7" s="155"/>
      <c r="D7" s="155"/>
      <c r="E7" s="156"/>
      <c r="F7" s="101"/>
      <c r="G7" s="102"/>
      <c r="H7" s="102"/>
      <c r="I7" s="103"/>
      <c r="J7" s="89"/>
      <c r="K7" s="89" t="s">
        <v>408</v>
      </c>
      <c r="L7" s="104"/>
      <c r="M7" s="105"/>
      <c r="N7" s="105"/>
      <c r="O7" s="105"/>
      <c r="P7" s="105"/>
      <c r="Q7" s="105"/>
      <c r="R7" s="106"/>
      <c r="S7" s="18"/>
      <c r="T7" s="89" t="s">
        <v>407</v>
      </c>
      <c r="U7" s="101"/>
      <c r="V7" s="102"/>
      <c r="W7" s="103"/>
      <c r="X7" s="28"/>
      <c r="Y7" s="24"/>
      <c r="Z7" s="18"/>
      <c r="AB7" s="2"/>
      <c r="AC7" s="20"/>
      <c r="AD7" s="20"/>
      <c r="AE7" s="20"/>
      <c r="AF7" s="20"/>
      <c r="AG7" s="20"/>
      <c r="AH7" s="20"/>
      <c r="AI7" s="20"/>
      <c r="AJ7" s="20" t="b">
        <v>0</v>
      </c>
      <c r="AK7" s="20"/>
      <c r="AL7" s="20"/>
    </row>
    <row r="8" spans="1:38" ht="4.5" customHeight="1">
      <c r="A8" s="21"/>
      <c r="B8" s="18"/>
      <c r="C8" s="18"/>
      <c r="D8" s="18"/>
      <c r="E8" s="18"/>
      <c r="F8" s="18"/>
      <c r="G8" s="18"/>
      <c r="H8" s="18"/>
      <c r="I8" s="18"/>
      <c r="J8" s="18"/>
      <c r="K8" s="18"/>
      <c r="L8" s="18"/>
      <c r="M8" s="18"/>
      <c r="N8" s="18"/>
      <c r="O8" s="18"/>
      <c r="P8" s="18"/>
      <c r="Q8" s="18"/>
      <c r="R8" s="18"/>
      <c r="S8" s="18"/>
      <c r="T8" s="18"/>
      <c r="U8" s="18"/>
      <c r="V8" s="18"/>
      <c r="W8" s="18"/>
      <c r="X8" s="28"/>
      <c r="Y8" s="24"/>
      <c r="Z8" s="18"/>
      <c r="AB8" s="2"/>
      <c r="AC8" s="20"/>
      <c r="AD8" s="20"/>
      <c r="AE8" s="20"/>
      <c r="AF8" s="20"/>
      <c r="AG8" s="20"/>
      <c r="AH8" s="20"/>
      <c r="AI8" s="20"/>
      <c r="AJ8" s="20"/>
      <c r="AK8" s="20"/>
      <c r="AL8" s="20"/>
    </row>
    <row r="9" spans="1:38" ht="12" customHeight="1">
      <c r="A9" s="21"/>
      <c r="B9" s="18" t="s">
        <v>418</v>
      </c>
      <c r="C9" s="18"/>
      <c r="D9" s="18"/>
      <c r="E9" s="18"/>
      <c r="F9" s="18"/>
      <c r="G9" s="18"/>
      <c r="H9" s="18"/>
      <c r="J9" s="30" t="str">
        <f>IF(AND(D4="",D5="",S5="",L7="",U7="",B10=FALSE,E10=FALSE,H10=FALSE,L10=FALSE,P10=FALSE,T10=FALSE,B13=FALSE),"",IF(D4="", "Application Help: Project Name (Row 4) is blank; other issues may still exist", IF(D5="", "Application Help: Location (Row 5) is blank; other issues may still exist", IF(S5="", "Application Help: Location Jurisdiction (Row 5) is blank; other issues may still exist", IF(AND(L7="",U7=""),"Application Help: Contact Info (Row 7) is blank; other issues may still exist", IF(AND(B10=FALSE,E10=FALSE,H10=FALSE,L10=FALSE,P10=FALSE,T10=FALSE),"Application Help: Application Type (Row 10) is blank; other issues may still exist", IF(COUNTIF(B10:T10,TRUE)&gt;1, "Application Help: Multiple Application Types selected; other issues may still exist", IF(B13=FALSE, "Application Help: SIF Acknowledgment (Row 13) is blank; other issues may still exist", ""))))))))</f>
        <v/>
      </c>
      <c r="K9" s="18"/>
      <c r="L9" s="18"/>
      <c r="M9" s="18"/>
      <c r="N9" s="27"/>
      <c r="O9" s="27"/>
      <c r="P9" s="31"/>
      <c r="Q9" s="18"/>
      <c r="R9" s="18"/>
      <c r="S9" s="18"/>
      <c r="T9" s="18"/>
      <c r="U9" s="18"/>
      <c r="V9" s="18"/>
      <c r="W9" s="18"/>
      <c r="X9" s="28" t="b">
        <v>0</v>
      </c>
      <c r="Y9" s="18"/>
      <c r="Z9" s="18"/>
      <c r="AB9" s="2"/>
      <c r="AC9" s="20"/>
      <c r="AD9" s="20"/>
      <c r="AE9" s="20"/>
      <c r="AF9" s="20"/>
      <c r="AG9" s="20"/>
      <c r="AH9" s="20"/>
      <c r="AI9" s="20"/>
      <c r="AJ9" s="20"/>
      <c r="AK9" s="20"/>
      <c r="AL9" s="20"/>
    </row>
    <row r="10" spans="1:38" ht="12" customHeight="1">
      <c r="A10" s="21"/>
      <c r="B10" s="4" t="b">
        <v>0</v>
      </c>
      <c r="C10" s="87" t="s">
        <v>2</v>
      </c>
      <c r="D10" s="32"/>
      <c r="E10" s="4" t="b">
        <v>0</v>
      </c>
      <c r="F10" s="33" t="s">
        <v>445</v>
      </c>
      <c r="G10" s="32"/>
      <c r="H10" s="4" t="b">
        <v>0</v>
      </c>
      <c r="I10" s="33" t="s">
        <v>483</v>
      </c>
      <c r="J10" s="33"/>
      <c r="K10" s="32"/>
      <c r="L10" s="4" t="b">
        <v>0</v>
      </c>
      <c r="M10" s="33" t="s">
        <v>484</v>
      </c>
      <c r="N10" s="33"/>
      <c r="O10" s="32"/>
      <c r="P10" s="4" t="b">
        <v>0</v>
      </c>
      <c r="Q10" s="33" t="s">
        <v>485</v>
      </c>
      <c r="R10" s="33"/>
      <c r="S10" s="32"/>
      <c r="T10" s="4" t="b">
        <v>0</v>
      </c>
      <c r="U10" s="87" t="s">
        <v>444</v>
      </c>
      <c r="V10" s="88"/>
      <c r="W10" s="27"/>
      <c r="X10" s="28"/>
      <c r="Y10" s="18"/>
      <c r="Z10" s="18"/>
      <c r="AB10" s="2"/>
      <c r="AC10" s="20"/>
      <c r="AD10" s="20"/>
      <c r="AE10" s="20"/>
      <c r="AF10" s="20"/>
      <c r="AG10" s="20"/>
      <c r="AH10" s="20"/>
      <c r="AI10" s="20"/>
      <c r="AJ10" s="20"/>
      <c r="AK10" s="20"/>
      <c r="AL10" s="20"/>
    </row>
    <row r="11" spans="1:38" ht="9" customHeight="1">
      <c r="A11" s="21"/>
      <c r="B11" s="18"/>
      <c r="C11" s="18"/>
      <c r="D11" s="18"/>
      <c r="E11" s="18"/>
      <c r="F11" s="18"/>
      <c r="G11" s="18"/>
      <c r="H11" s="18"/>
      <c r="I11" s="18"/>
      <c r="J11" s="18"/>
      <c r="K11" s="18"/>
      <c r="L11" s="18"/>
      <c r="M11" s="18"/>
      <c r="N11" s="18"/>
      <c r="O11" s="18"/>
      <c r="P11" s="18"/>
      <c r="Q11" s="18"/>
      <c r="R11" s="18"/>
      <c r="S11" s="18"/>
      <c r="T11" s="18"/>
      <c r="U11" s="18"/>
      <c r="V11" s="18"/>
      <c r="W11" s="18"/>
      <c r="X11" s="28"/>
      <c r="Y11" s="18"/>
      <c r="Z11" s="18" t="s">
        <v>804</v>
      </c>
      <c r="AB11" s="2"/>
      <c r="AC11" s="20"/>
      <c r="AD11" s="20"/>
      <c r="AE11" s="20"/>
      <c r="AF11" s="20"/>
      <c r="AG11" s="20"/>
      <c r="AH11" s="20"/>
      <c r="AI11" s="20"/>
      <c r="AJ11" s="20" t="b">
        <v>0</v>
      </c>
      <c r="AK11" s="20" t="b">
        <v>0</v>
      </c>
      <c r="AL11" s="20"/>
    </row>
    <row r="12" spans="1:38" ht="18" customHeight="1">
      <c r="A12" s="21"/>
      <c r="B12" s="158" t="s">
        <v>3</v>
      </c>
      <c r="C12" s="158"/>
      <c r="D12" s="158"/>
      <c r="E12" s="158"/>
      <c r="F12" s="158"/>
      <c r="G12" s="158"/>
      <c r="H12" s="158"/>
      <c r="I12" s="158"/>
      <c r="J12" s="158"/>
      <c r="K12" s="158"/>
      <c r="L12" s="158"/>
      <c r="M12" s="158"/>
      <c r="N12" s="158"/>
      <c r="O12" s="158"/>
      <c r="P12" s="158"/>
      <c r="Q12" s="158"/>
      <c r="R12" s="158"/>
      <c r="S12" s="158"/>
      <c r="T12" s="158"/>
      <c r="U12" s="158"/>
      <c r="V12" s="158"/>
      <c r="W12" s="158"/>
      <c r="X12" s="28" t="b">
        <v>0</v>
      </c>
      <c r="Y12" s="18"/>
      <c r="Z12" s="18" t="s">
        <v>805</v>
      </c>
      <c r="AB12" s="2"/>
      <c r="AC12" s="20"/>
      <c r="AD12" s="20"/>
      <c r="AE12" s="20"/>
      <c r="AF12" s="20"/>
      <c r="AG12" s="20"/>
      <c r="AH12" s="20"/>
      <c r="AI12" s="20"/>
      <c r="AJ12" s="20"/>
      <c r="AK12" s="20"/>
      <c r="AL12" s="20"/>
    </row>
    <row r="13" spans="1:38" ht="13.5" customHeight="1">
      <c r="A13" s="21"/>
      <c r="B13" s="4" t="b">
        <v>0</v>
      </c>
      <c r="C13" s="34" t="s">
        <v>691</v>
      </c>
      <c r="D13" s="33"/>
      <c r="E13" s="33"/>
      <c r="F13" s="33"/>
      <c r="G13" s="33"/>
      <c r="H13" s="33"/>
      <c r="I13" s="33"/>
      <c r="J13" s="33"/>
      <c r="K13" s="33"/>
      <c r="L13" s="33"/>
      <c r="M13" s="33"/>
      <c r="N13" s="33"/>
      <c r="O13" s="33"/>
      <c r="P13" s="33"/>
      <c r="Q13" s="33"/>
      <c r="R13" s="33"/>
      <c r="S13" s="33"/>
      <c r="T13" s="33"/>
      <c r="U13" s="33"/>
      <c r="V13" s="33"/>
      <c r="W13" s="32"/>
      <c r="X13" s="28"/>
      <c r="Y13" s="24"/>
      <c r="Z13" s="18"/>
      <c r="AC13" s="20"/>
      <c r="AD13" s="20"/>
      <c r="AE13" s="20"/>
      <c r="AF13" s="20"/>
      <c r="AG13" s="20"/>
      <c r="AH13" s="20"/>
      <c r="AI13" s="20"/>
      <c r="AJ13" s="20" t="b">
        <v>0</v>
      </c>
      <c r="AK13" s="20"/>
      <c r="AL13" s="20"/>
    </row>
    <row r="14" spans="1:38" ht="7.5" customHeight="1">
      <c r="A14" s="21"/>
      <c r="B14" s="18"/>
      <c r="C14" s="18"/>
      <c r="D14" s="18"/>
      <c r="E14" s="18"/>
      <c r="F14" s="18"/>
      <c r="G14" s="18"/>
      <c r="H14" s="18"/>
      <c r="I14" s="18"/>
      <c r="J14" s="18"/>
      <c r="K14" s="18"/>
      <c r="L14" s="18"/>
      <c r="M14" s="18"/>
      <c r="N14" s="18"/>
      <c r="O14" s="18"/>
      <c r="P14" s="18"/>
      <c r="Q14" s="18"/>
      <c r="R14" s="18"/>
      <c r="S14" s="18"/>
      <c r="T14" s="18"/>
      <c r="U14" s="18"/>
      <c r="V14" s="18"/>
      <c r="W14" s="18"/>
      <c r="X14" s="28"/>
      <c r="Y14" s="18"/>
      <c r="Z14" s="18"/>
      <c r="AC14" s="20"/>
      <c r="AD14" s="20"/>
      <c r="AE14" s="20"/>
      <c r="AF14" s="20"/>
      <c r="AG14" s="20"/>
      <c r="AH14" s="20"/>
      <c r="AI14" s="20"/>
      <c r="AJ14" s="20"/>
      <c r="AK14" s="20"/>
      <c r="AL14" s="20"/>
    </row>
    <row r="15" spans="1:38" ht="12" customHeight="1">
      <c r="A15" s="21"/>
      <c r="B15" s="18" t="s">
        <v>803</v>
      </c>
      <c r="C15" s="18"/>
      <c r="D15" s="18"/>
      <c r="E15" s="18"/>
      <c r="F15" s="18"/>
      <c r="G15" s="18"/>
      <c r="H15" s="18"/>
      <c r="I15" s="151"/>
      <c r="J15" s="152"/>
      <c r="K15" s="152"/>
      <c r="L15" s="152"/>
      <c r="M15" s="152"/>
      <c r="N15" s="152"/>
      <c r="O15" s="152"/>
      <c r="P15" s="152"/>
      <c r="Q15" s="152"/>
      <c r="R15" s="152"/>
      <c r="S15" s="152"/>
      <c r="T15" s="152"/>
      <c r="U15" s="152"/>
      <c r="V15" s="152"/>
      <c r="W15" s="153"/>
      <c r="X15" s="28"/>
      <c r="Y15" s="18"/>
      <c r="Z15" s="18"/>
      <c r="AC15" s="20"/>
      <c r="AD15" s="20"/>
      <c r="AE15" s="20"/>
      <c r="AF15" s="20"/>
      <c r="AG15" s="20"/>
      <c r="AH15" s="20"/>
      <c r="AI15" s="20"/>
      <c r="AJ15" s="20"/>
      <c r="AK15" s="20"/>
      <c r="AL15" s="20"/>
    </row>
    <row r="16" spans="1:38" ht="12" customHeight="1">
      <c r="A16" s="21"/>
      <c r="B16" s="35" t="s">
        <v>453</v>
      </c>
      <c r="C16" s="35"/>
      <c r="D16" s="35"/>
      <c r="E16" s="35"/>
      <c r="F16" s="35"/>
      <c r="G16" s="35"/>
      <c r="H16" s="35"/>
      <c r="I16" s="35"/>
      <c r="J16" s="35"/>
      <c r="K16" s="35"/>
      <c r="L16" s="35"/>
      <c r="M16" s="35"/>
      <c r="N16" s="18"/>
      <c r="O16" s="18"/>
      <c r="P16" s="18"/>
      <c r="Q16" s="18"/>
      <c r="R16" s="18"/>
      <c r="S16" s="18"/>
      <c r="T16" s="18"/>
      <c r="U16" s="17" t="s">
        <v>454</v>
      </c>
      <c r="V16" s="18"/>
      <c r="W16" s="17"/>
      <c r="X16" s="28"/>
      <c r="Y16" s="18"/>
      <c r="Z16" s="18"/>
      <c r="AC16" s="20"/>
      <c r="AD16" s="20"/>
      <c r="AE16" s="20"/>
      <c r="AF16" s="20"/>
      <c r="AG16" s="20"/>
      <c r="AH16" s="20"/>
      <c r="AI16" s="20"/>
      <c r="AJ16" s="20"/>
      <c r="AK16" s="20"/>
      <c r="AL16" s="20"/>
    </row>
    <row r="17" spans="1:38">
      <c r="A17" s="21"/>
      <c r="B17" s="17" t="s">
        <v>424</v>
      </c>
      <c r="C17" s="36" t="s">
        <v>425</v>
      </c>
      <c r="D17" s="116" t="s">
        <v>2</v>
      </c>
      <c r="E17" s="116"/>
      <c r="F17" s="116" t="s">
        <v>470</v>
      </c>
      <c r="G17" s="116"/>
      <c r="H17" s="116"/>
      <c r="I17" s="116" t="s">
        <v>670</v>
      </c>
      <c r="J17" s="116"/>
      <c r="K17" s="116"/>
      <c r="L17" s="116"/>
      <c r="M17" s="116"/>
      <c r="N17" s="116"/>
      <c r="O17" s="116" t="s">
        <v>669</v>
      </c>
      <c r="P17" s="116"/>
      <c r="Q17" s="116"/>
      <c r="R17" s="17" t="s">
        <v>443</v>
      </c>
      <c r="S17" s="17" t="s">
        <v>678</v>
      </c>
      <c r="T17" s="116" t="s">
        <v>482</v>
      </c>
      <c r="U17" s="116"/>
      <c r="V17" s="116" t="s">
        <v>409</v>
      </c>
      <c r="W17" s="116"/>
      <c r="X17" s="28"/>
      <c r="Y17" s="17"/>
      <c r="Z17" s="18"/>
      <c r="AC17" s="20"/>
      <c r="AD17" s="20"/>
      <c r="AE17" s="20"/>
      <c r="AF17" s="20"/>
      <c r="AG17" s="20"/>
      <c r="AH17" s="20"/>
      <c r="AI17" s="20"/>
      <c r="AJ17" s="20"/>
      <c r="AK17" s="20"/>
      <c r="AL17" s="20"/>
    </row>
    <row r="18" spans="1:38" ht="19.5" customHeight="1">
      <c r="A18" s="21"/>
      <c r="B18" s="1"/>
      <c r="C18" s="5"/>
      <c r="D18" s="98"/>
      <c r="E18" s="100"/>
      <c r="F18" s="98"/>
      <c r="G18" s="99"/>
      <c r="H18" s="99"/>
      <c r="I18" s="98"/>
      <c r="J18" s="99"/>
      <c r="K18" s="99"/>
      <c r="L18" s="99"/>
      <c r="M18" s="99"/>
      <c r="N18" s="100"/>
      <c r="O18" s="96" t="str">
        <f>IF(I18="", "", _xlfn.IFNA(VLOOKUP(TRIM(MID(I18, FIND("-", I18) + 1, LEN(I18))), 'Land Uses'!$A$1:$F$194, 3, FALSE), ""))</f>
        <v/>
      </c>
      <c r="P18" s="97"/>
      <c r="Q18" s="97"/>
      <c r="R18" s="5"/>
      <c r="S18" s="37" t="str">
        <f>IF(I18="", "", _xlfn.IFNA(VLOOKUP(TRIM(MID(I18, FIND("-", I18) + 1, LEN(I18))), 'Land Uses'!$A$1:$F$194, 2, FALSE), ""))</f>
        <v/>
      </c>
      <c r="T18" s="92" t="str">
        <f>IF(I18="",
  "",
  _xlfn.IFNA(
    IF(
      INDEX('Land Uses'!$F$1:$F$194, MATCH(TRIM(MID(I18, FIND("-", I18) + 1, LEN(I18))), 'Land Uses'!$A$1:$A$194, 0)) = "FCE",
        IF(
          AND(
            R18 &gt;= INDEX('Land Uses'!$L$1:$L$194, MATCH(TRIM(MID(I18, FIND("-", I18) + 1, LEN(I18))), 'Land Uses'!$A$1:$A$194, 0)),
            R18 &lt;= INDEX('Land Uses'!$M$1:$M$194, MATCH(TRIM(MID(I18, FIND("-", I18) + 1, LEN(I18))), 'Land Uses'!$A$1:$A$194, 0))
          ),
          "FCE",
          TEXT(INDEX('Land Uses'!$D$1:$D$194, MATCH(TRIM(MID(I18, FIND("-", I18) + 1, LEN(I18))), 'Land Uses'!$A$1:$A$194, 0)),"0.00") &amp; "x"
        ),
      TEXT(INDEX('Land Uses'!$D$1:$D$194, MATCH(TRIM(MID(I18, FIND("-", I18) + 1, LEN(I18))), 'Land Uses'!$A$1:$A$194, 0)),"0.00") &amp; "x"
    ),
  "")
)</f>
        <v/>
      </c>
      <c r="U18" s="93"/>
      <c r="V18" s="94" t="str">
        <f>IF(R18="", "",
  IF(LEFT(T18, 3)="FCE",
    IF(VLOOKUP(S18, 'Land Uses'!$B$1:$L$194, 10, FALSE)="Linear",
      (VLOOKUP(S18, 'Land Uses'!$B$1:$L$194, 7, FALSE) * R18 + VLOOKUP(S18, 'Land Uses'!$B$1:$L$194, 8, FALSE)) * VLOOKUP(S18, 'Land Uses'!$B$1:$L$194, 9, FALSE),
    IF(VLOOKUP(S18, 'Land Uses'!$B$1:$L$194, 10, FALSE)="Exponential",
      EXP(VLOOKUP(S18, 'Land Uses'!$B$1:$L$194, 7, FALSE) * LN(R18) + VLOOKUP(S18, 'Land Uses'!$B$1:$L$194, 8, FALSE)),
    "Unknown Type")),
  IF(ISNUMBER(FIND("x", T18)),
    --LEFT(T18, FIND("x", T18) - 1) * R18,
  "Invalid"))
)</f>
        <v/>
      </c>
      <c r="W18" s="95"/>
      <c r="X18" s="28"/>
      <c r="Y18" s="35"/>
      <c r="Z18" s="18"/>
      <c r="AB18" s="19" t="s">
        <v>247</v>
      </c>
      <c r="AC18" s="20"/>
      <c r="AD18" s="20"/>
      <c r="AE18" s="20"/>
      <c r="AF18" s="20"/>
      <c r="AG18" s="20"/>
      <c r="AH18" s="20"/>
      <c r="AI18" s="20"/>
      <c r="AJ18" s="20"/>
      <c r="AK18" s="20"/>
      <c r="AL18" s="20"/>
    </row>
    <row r="19" spans="1:38" ht="19.5" customHeight="1">
      <c r="A19" s="21"/>
      <c r="B19" s="1"/>
      <c r="C19" s="5"/>
      <c r="D19" s="98"/>
      <c r="E19" s="100"/>
      <c r="F19" s="98"/>
      <c r="G19" s="99"/>
      <c r="H19" s="99"/>
      <c r="I19" s="98"/>
      <c r="J19" s="99"/>
      <c r="K19" s="99"/>
      <c r="L19" s="99"/>
      <c r="M19" s="99"/>
      <c r="N19" s="100"/>
      <c r="O19" s="96" t="str">
        <f>IF(I19="", "", _xlfn.IFNA(VLOOKUP(TRIM(MID(I19, FIND("-", I19) + 1, LEN(I19))), 'Land Uses'!$A$1:$F$194, 3, FALSE), ""))</f>
        <v/>
      </c>
      <c r="P19" s="97"/>
      <c r="Q19" s="97"/>
      <c r="R19" s="5"/>
      <c r="S19" s="37" t="str">
        <f>IF(I19="", "", _xlfn.IFNA(VLOOKUP(TRIM(MID(I19, FIND("-", I19) + 1, LEN(I19))), 'Land Uses'!$A$1:$F$194, 2, FALSE), ""))</f>
        <v/>
      </c>
      <c r="T19" s="92" t="str">
        <f>IF(I19="",
  "",
  _xlfn.IFNA(
    IF(
      INDEX('Land Uses'!$F$1:$F$194, MATCH(TRIM(MID(I19, FIND("-", I19) + 1, LEN(I19))), 'Land Uses'!$A$1:$A$194, 0)) = "FCE",
        IF(
          AND(
            R19 &gt;= INDEX('Land Uses'!$L$1:$L$194, MATCH(TRIM(MID(I19, FIND("-", I19) + 1, LEN(I19))), 'Land Uses'!$A$1:$A$194, 0)),
            R19 &lt;= INDEX('Land Uses'!$M$1:$M$194, MATCH(TRIM(MID(I19, FIND("-", I19) + 1, LEN(I19))), 'Land Uses'!$A$1:$A$194, 0))
          ),
          "FCE",
          TEXT(INDEX('Land Uses'!$D$1:$D$194, MATCH(TRIM(MID(I19, FIND("-", I19) + 1, LEN(I19))), 'Land Uses'!$A$1:$A$194, 0)),"0.00") &amp; "x"
        ),
      TEXT(INDEX('Land Uses'!$D$1:$D$194, MATCH(TRIM(MID(I19, FIND("-", I19) + 1, LEN(I19))), 'Land Uses'!$A$1:$A$194, 0)),"0.00") &amp; "x"
    ),
  "")
)</f>
        <v/>
      </c>
      <c r="U19" s="93"/>
      <c r="V19" s="94" t="str">
        <f>IF(R19="", "",
  IF(LEFT(T19, 3)="FCE",
    IF(VLOOKUP(S19, 'Land Uses'!$B$1:$L$194, 10, FALSE)="Linear",
      (VLOOKUP(S19, 'Land Uses'!$B$1:$L$194, 7, FALSE) * R19 + VLOOKUP(S19, 'Land Uses'!$B$1:$L$194, 8, FALSE)) * VLOOKUP(S19, 'Land Uses'!$B$1:$L$194, 9, FALSE),
    IF(VLOOKUP(S19, 'Land Uses'!$B$1:$L$194, 10, FALSE)="Exponential",
      EXP(VLOOKUP(S19, 'Land Uses'!$B$1:$L$194, 7, FALSE) * LN(R19) + VLOOKUP(S19, 'Land Uses'!$B$1:$L$194, 8, FALSE)),
    "Unknown Type")),
  IF(ISNUMBER(FIND("x", T19)),
    --LEFT(T19, FIND("x", T19) - 1) * R19,
  "Invalid"))
)</f>
        <v/>
      </c>
      <c r="W19" s="95"/>
      <c r="X19" s="28"/>
      <c r="Y19" s="38"/>
      <c r="Z19" s="18"/>
      <c r="AB19" s="3">
        <f>SUM(V36:V45,V48:V50)-SUM(V18:V27,V30:V32)</f>
        <v>0</v>
      </c>
      <c r="AC19" s="20"/>
      <c r="AD19" s="20"/>
      <c r="AE19" s="20"/>
      <c r="AF19" s="20"/>
      <c r="AG19" s="20"/>
      <c r="AH19" s="20"/>
      <c r="AI19" s="20"/>
      <c r="AJ19" s="20"/>
      <c r="AK19" s="20"/>
      <c r="AL19" s="20"/>
    </row>
    <row r="20" spans="1:38" ht="19.5" customHeight="1">
      <c r="A20" s="21"/>
      <c r="B20" s="1"/>
      <c r="C20" s="5"/>
      <c r="D20" s="98"/>
      <c r="E20" s="100"/>
      <c r="F20" s="98"/>
      <c r="G20" s="99"/>
      <c r="H20" s="99"/>
      <c r="I20" s="98"/>
      <c r="J20" s="99"/>
      <c r="K20" s="99"/>
      <c r="L20" s="99"/>
      <c r="M20" s="99"/>
      <c r="N20" s="100"/>
      <c r="O20" s="96" t="str">
        <f>IF(I20="", "", _xlfn.IFNA(VLOOKUP(TRIM(MID(I20, FIND("-", I20) + 1, LEN(I20))), 'Land Uses'!$A$1:$F$194, 3, FALSE), ""))</f>
        <v/>
      </c>
      <c r="P20" s="97"/>
      <c r="Q20" s="97"/>
      <c r="R20" s="5"/>
      <c r="S20" s="37" t="str">
        <f>IF(I20="", "", _xlfn.IFNA(VLOOKUP(TRIM(MID(I20, FIND("-", I20) + 1, LEN(I20))), 'Land Uses'!$A$1:$F$194, 2, FALSE), ""))</f>
        <v/>
      </c>
      <c r="T20" s="92" t="str">
        <f>IF(I20="",
  "",
  _xlfn.IFNA(
    IF(
      INDEX('Land Uses'!$F$1:$F$194, MATCH(TRIM(MID(I20, FIND("-", I20) + 1, LEN(I20))), 'Land Uses'!$A$1:$A$194, 0)) = "FCE",
        IF(
          AND(
            R20 &gt;= INDEX('Land Uses'!$L$1:$L$194, MATCH(TRIM(MID(I20, FIND("-", I20) + 1, LEN(I20))), 'Land Uses'!$A$1:$A$194, 0)),
            R20 &lt;= INDEX('Land Uses'!$M$1:$M$194, MATCH(TRIM(MID(I20, FIND("-", I20) + 1, LEN(I20))), 'Land Uses'!$A$1:$A$194, 0))
          ),
          "FCE",
          TEXT(INDEX('Land Uses'!$D$1:$D$194, MATCH(TRIM(MID(I20, FIND("-", I20) + 1, LEN(I20))), 'Land Uses'!$A$1:$A$194, 0)),"0.00") &amp; "x"
        ),
      TEXT(INDEX('Land Uses'!$D$1:$D$194, MATCH(TRIM(MID(I20, FIND("-", I20) + 1, LEN(I20))), 'Land Uses'!$A$1:$A$194, 0)),"0.00") &amp; "x"
    ),
  "")
)</f>
        <v/>
      </c>
      <c r="U20" s="93"/>
      <c r="V20" s="94" t="str">
        <f>IF(R20="", "",
  IF(LEFT(T20, 3)="FCE",
    IF(VLOOKUP(S20, 'Land Uses'!$B$1:$L$194, 10, FALSE)="Linear",
      (VLOOKUP(S20, 'Land Uses'!$B$1:$L$194, 7, FALSE) * R20 + VLOOKUP(S20, 'Land Uses'!$B$1:$L$194, 8, FALSE)) * VLOOKUP(S20, 'Land Uses'!$B$1:$L$194, 9, FALSE),
    IF(VLOOKUP(S20, 'Land Uses'!$B$1:$L$194, 10, FALSE)="Exponential",
      EXP(VLOOKUP(S20, 'Land Uses'!$B$1:$L$194, 7, FALSE) * LN(R20) + VLOOKUP(S20, 'Land Uses'!$B$1:$L$194, 8, FALSE)),
    "Unknown Type")),
  IF(ISNUMBER(FIND("x", T20)),
    --LEFT(T20, FIND("x", T20) - 1) * R20,
  "Invalid"))
)</f>
        <v/>
      </c>
      <c r="W20" s="95"/>
      <c r="X20" s="28"/>
      <c r="Y20" s="38"/>
      <c r="Z20" s="18"/>
      <c r="AC20" s="20"/>
      <c r="AD20" s="20"/>
      <c r="AE20" s="20"/>
      <c r="AF20" s="20"/>
      <c r="AG20" s="20"/>
      <c r="AH20" s="20"/>
      <c r="AI20" s="20"/>
      <c r="AJ20" s="20"/>
      <c r="AK20" s="20"/>
      <c r="AL20" s="20"/>
    </row>
    <row r="21" spans="1:38" ht="19.5" customHeight="1">
      <c r="A21" s="21"/>
      <c r="B21" s="1"/>
      <c r="C21" s="5"/>
      <c r="D21" s="98"/>
      <c r="E21" s="100"/>
      <c r="F21" s="98"/>
      <c r="G21" s="99"/>
      <c r="H21" s="99"/>
      <c r="I21" s="98"/>
      <c r="J21" s="99"/>
      <c r="K21" s="99"/>
      <c r="L21" s="99"/>
      <c r="M21" s="99"/>
      <c r="N21" s="100"/>
      <c r="O21" s="96" t="str">
        <f>IF(I21="", "", _xlfn.IFNA(VLOOKUP(TRIM(MID(I21, FIND("-", I21) + 1, LEN(I21))), 'Land Uses'!$A$1:$F$194, 3, FALSE), ""))</f>
        <v/>
      </c>
      <c r="P21" s="97"/>
      <c r="Q21" s="97"/>
      <c r="R21" s="5"/>
      <c r="S21" s="37" t="str">
        <f>IF(I21="", "", _xlfn.IFNA(VLOOKUP(TRIM(MID(I21, FIND("-", I21) + 1, LEN(I21))), 'Land Uses'!$A$1:$F$194, 2, FALSE), ""))</f>
        <v/>
      </c>
      <c r="T21" s="92" t="str">
        <f>IF(I21="",
  "",
  _xlfn.IFNA(
    IF(
      INDEX('Land Uses'!$F$1:$F$194, MATCH(TRIM(MID(I21, FIND("-", I21) + 1, LEN(I21))), 'Land Uses'!$A$1:$A$194, 0)) = "FCE",
        IF(
          AND(
            R21 &gt;= INDEX('Land Uses'!$L$1:$L$194, MATCH(TRIM(MID(I21, FIND("-", I21) + 1, LEN(I21))), 'Land Uses'!$A$1:$A$194, 0)),
            R21 &lt;= INDEX('Land Uses'!$M$1:$M$194, MATCH(TRIM(MID(I21, FIND("-", I21) + 1, LEN(I21))), 'Land Uses'!$A$1:$A$194, 0))
          ),
          "FCE",
          TEXT(INDEX('Land Uses'!$D$1:$D$194, MATCH(TRIM(MID(I21, FIND("-", I21) + 1, LEN(I21))), 'Land Uses'!$A$1:$A$194, 0)),"0.00") &amp; "x"
        ),
      TEXT(INDEX('Land Uses'!$D$1:$D$194, MATCH(TRIM(MID(I21, FIND("-", I21) + 1, LEN(I21))), 'Land Uses'!$A$1:$A$194, 0)),"0.00") &amp; "x"
    ),
  "")
)</f>
        <v/>
      </c>
      <c r="U21" s="93"/>
      <c r="V21" s="94" t="str">
        <f>IF(R21="", "",
  IF(LEFT(T21, 3)="FCE",
    IF(VLOOKUP(S21, 'Land Uses'!$B$1:$L$194, 10, FALSE)="Linear",
      (VLOOKUP(S21, 'Land Uses'!$B$1:$L$194, 7, FALSE) * R21 + VLOOKUP(S21, 'Land Uses'!$B$1:$L$194, 8, FALSE)) * VLOOKUP(S21, 'Land Uses'!$B$1:$L$194, 9, FALSE),
    IF(VLOOKUP(S21, 'Land Uses'!$B$1:$L$194, 10, FALSE)="Exponential",
      EXP(VLOOKUP(S21, 'Land Uses'!$B$1:$L$194, 7, FALSE) * LN(R21) + VLOOKUP(S21, 'Land Uses'!$B$1:$L$194, 8, FALSE)),
    "Unknown Type")),
  IF(ISNUMBER(FIND("x", T21)),
    --LEFT(T21, FIND("x", T21) - 1) * R21,
  "Invalid"))
)</f>
        <v/>
      </c>
      <c r="W21" s="95"/>
      <c r="X21" s="28"/>
      <c r="Y21" s="38"/>
      <c r="Z21" s="18"/>
      <c r="AC21" s="20"/>
      <c r="AD21" s="20"/>
      <c r="AE21" s="20"/>
      <c r="AF21" s="20"/>
      <c r="AG21" s="20"/>
      <c r="AH21" s="20"/>
      <c r="AI21" s="20"/>
      <c r="AJ21" s="20"/>
      <c r="AK21" s="20"/>
      <c r="AL21" s="20"/>
    </row>
    <row r="22" spans="1:38" ht="19.5" customHeight="1">
      <c r="A22" s="21"/>
      <c r="B22" s="1"/>
      <c r="C22" s="5"/>
      <c r="D22" s="98"/>
      <c r="E22" s="100"/>
      <c r="F22" s="98"/>
      <c r="G22" s="99"/>
      <c r="H22" s="99"/>
      <c r="I22" s="98"/>
      <c r="J22" s="99"/>
      <c r="K22" s="99"/>
      <c r="L22" s="99"/>
      <c r="M22" s="99"/>
      <c r="N22" s="100"/>
      <c r="O22" s="96" t="str">
        <f>IF(I22="", "", _xlfn.IFNA(VLOOKUP(TRIM(MID(I22, FIND("-", I22) + 1, LEN(I22))), 'Land Uses'!$A$1:$F$194, 3, FALSE), ""))</f>
        <v/>
      </c>
      <c r="P22" s="97"/>
      <c r="Q22" s="97"/>
      <c r="R22" s="5"/>
      <c r="S22" s="37" t="str">
        <f>IF(I22="", "", _xlfn.IFNA(VLOOKUP(TRIM(MID(I22, FIND("-", I22) + 1, LEN(I22))), 'Land Uses'!$A$1:$F$194, 2, FALSE), ""))</f>
        <v/>
      </c>
      <c r="T22" s="92" t="str">
        <f>IF(I22="",
  "",
  _xlfn.IFNA(
    IF(
      INDEX('Land Uses'!$F$1:$F$194, MATCH(TRIM(MID(I22, FIND("-", I22) + 1, LEN(I22))), 'Land Uses'!$A$1:$A$194, 0)) = "FCE",
        IF(
          AND(
            R22 &gt;= INDEX('Land Uses'!$L$1:$L$194, MATCH(TRIM(MID(I22, FIND("-", I22) + 1, LEN(I22))), 'Land Uses'!$A$1:$A$194, 0)),
            R22 &lt;= INDEX('Land Uses'!$M$1:$M$194, MATCH(TRIM(MID(I22, FIND("-", I22) + 1, LEN(I22))), 'Land Uses'!$A$1:$A$194, 0))
          ),
          "FCE",
          TEXT(INDEX('Land Uses'!$D$1:$D$194, MATCH(TRIM(MID(I22, FIND("-", I22) + 1, LEN(I22))), 'Land Uses'!$A$1:$A$194, 0)),"0.00") &amp; "x"
        ),
      TEXT(INDEX('Land Uses'!$D$1:$D$194, MATCH(TRIM(MID(I22, FIND("-", I22) + 1, LEN(I22))), 'Land Uses'!$A$1:$A$194, 0)),"0.00") &amp; "x"
    ),
  "")
)</f>
        <v/>
      </c>
      <c r="U22" s="93"/>
      <c r="V22" s="94" t="str">
        <f>IF(R22="", "",
  IF(LEFT(T22, 3)="FCE",
    IF(VLOOKUP(S22, 'Land Uses'!$B$1:$L$194, 10, FALSE)="Linear",
      (VLOOKUP(S22, 'Land Uses'!$B$1:$L$194, 7, FALSE) * R22 + VLOOKUP(S22, 'Land Uses'!$B$1:$L$194, 8, FALSE)) * VLOOKUP(S22, 'Land Uses'!$B$1:$L$194, 9, FALSE),
    IF(VLOOKUP(S22, 'Land Uses'!$B$1:$L$194, 10, FALSE)="Exponential",
      EXP(VLOOKUP(S22, 'Land Uses'!$B$1:$L$194, 7, FALSE) * LN(R22) + VLOOKUP(S22, 'Land Uses'!$B$1:$L$194, 8, FALSE)),
    "Unknown Type")),
  IF(ISNUMBER(FIND("x", T22)),
    --LEFT(T22, FIND("x", T22) - 1) * R22,
  "Invalid"))
)</f>
        <v/>
      </c>
      <c r="W22" s="95"/>
      <c r="X22" s="28"/>
      <c r="Y22" s="38"/>
      <c r="Z22" s="18"/>
      <c r="AC22" s="20"/>
      <c r="AD22" s="20"/>
      <c r="AE22" s="20"/>
      <c r="AF22" s="20"/>
      <c r="AG22" s="20"/>
      <c r="AH22" s="20"/>
      <c r="AI22" s="20"/>
      <c r="AJ22" s="20" t="b">
        <v>0</v>
      </c>
      <c r="AK22" s="20"/>
      <c r="AL22" s="20"/>
    </row>
    <row r="23" spans="1:38" ht="19.5" customHeight="1">
      <c r="A23" s="21"/>
      <c r="B23" s="1"/>
      <c r="C23" s="5"/>
      <c r="D23" s="98"/>
      <c r="E23" s="100"/>
      <c r="F23" s="98"/>
      <c r="G23" s="99"/>
      <c r="H23" s="100"/>
      <c r="I23" s="98"/>
      <c r="J23" s="99"/>
      <c r="K23" s="99"/>
      <c r="L23" s="99"/>
      <c r="M23" s="99"/>
      <c r="N23" s="100"/>
      <c r="O23" s="96" t="str">
        <f>IF(I23="", "", _xlfn.IFNA(VLOOKUP(TRIM(MID(I23, FIND("-", I23) + 1, LEN(I23))), 'Land Uses'!$A$1:$F$194, 3, FALSE), ""))</f>
        <v/>
      </c>
      <c r="P23" s="97"/>
      <c r="Q23" s="97"/>
      <c r="R23" s="5"/>
      <c r="S23" s="37" t="str">
        <f>IF(I23="", "", _xlfn.IFNA(VLOOKUP(TRIM(MID(I23, FIND("-", I23) + 1, LEN(I23))), 'Land Uses'!$A$1:$F$194, 2, FALSE), ""))</f>
        <v/>
      </c>
      <c r="T23" s="92" t="str">
        <f>IF(I23="",
  "",
  _xlfn.IFNA(
    IF(
      INDEX('Land Uses'!$F$1:$F$194, MATCH(TRIM(MID(I23, FIND("-", I23) + 1, LEN(I23))), 'Land Uses'!$A$1:$A$194, 0)) = "FCE",
        IF(
          AND(
            R23 &gt;= INDEX('Land Uses'!$L$1:$L$194, MATCH(TRIM(MID(I23, FIND("-", I23) + 1, LEN(I23))), 'Land Uses'!$A$1:$A$194, 0)),
            R23 &lt;= INDEX('Land Uses'!$M$1:$M$194, MATCH(TRIM(MID(I23, FIND("-", I23) + 1, LEN(I23))), 'Land Uses'!$A$1:$A$194, 0))
          ),
          "FCE",
          TEXT(INDEX('Land Uses'!$D$1:$D$194, MATCH(TRIM(MID(I23, FIND("-", I23) + 1, LEN(I23))), 'Land Uses'!$A$1:$A$194, 0)),"0.00") &amp; "x"
        ),
      TEXT(INDEX('Land Uses'!$D$1:$D$194, MATCH(TRIM(MID(I23, FIND("-", I23) + 1, LEN(I23))), 'Land Uses'!$A$1:$A$194, 0)),"0.00") &amp; "x"
    ),
  "")
)</f>
        <v/>
      </c>
      <c r="U23" s="93"/>
      <c r="V23" s="94" t="str">
        <f>IF(R23="", "",
  IF(LEFT(T23, 3)="FCE",
    IF(VLOOKUP(S23, 'Land Uses'!$B$1:$L$194, 10, FALSE)="Linear",
      (VLOOKUP(S23, 'Land Uses'!$B$1:$L$194, 7, FALSE) * R23 + VLOOKUP(S23, 'Land Uses'!$B$1:$L$194, 8, FALSE)) * VLOOKUP(S23, 'Land Uses'!$B$1:$L$194, 9, FALSE),
    IF(VLOOKUP(S23, 'Land Uses'!$B$1:$L$194, 10, FALSE)="Exponential",
      EXP(VLOOKUP(S23, 'Land Uses'!$B$1:$L$194, 7, FALSE) * LN(R23) + VLOOKUP(S23, 'Land Uses'!$B$1:$L$194, 8, FALSE)),
    "Unknown Type")),
  IF(ISNUMBER(FIND("x", T23)),
    --LEFT(T23, FIND("x", T23) - 1) * R23,
  "Invalid"))
)</f>
        <v/>
      </c>
      <c r="W23" s="95"/>
      <c r="X23" s="28"/>
      <c r="Y23" s="18"/>
      <c r="Z23" s="18"/>
      <c r="AC23" s="20"/>
      <c r="AD23" s="20"/>
      <c r="AE23" s="20"/>
      <c r="AF23" s="20"/>
      <c r="AG23" s="20"/>
      <c r="AH23" s="20"/>
      <c r="AI23" s="20"/>
      <c r="AJ23" s="20"/>
      <c r="AK23" s="20"/>
      <c r="AL23" s="20"/>
    </row>
    <row r="24" spans="1:38" ht="19.5" customHeight="1">
      <c r="A24" s="21"/>
      <c r="B24" s="1"/>
      <c r="C24" s="5"/>
      <c r="D24" s="98"/>
      <c r="E24" s="100"/>
      <c r="F24" s="98"/>
      <c r="G24" s="99"/>
      <c r="H24" s="100"/>
      <c r="I24" s="98"/>
      <c r="J24" s="99"/>
      <c r="K24" s="99"/>
      <c r="L24" s="99"/>
      <c r="M24" s="99"/>
      <c r="N24" s="100"/>
      <c r="O24" s="96" t="str">
        <f>IF(I24="", "", _xlfn.IFNA(VLOOKUP(TRIM(MID(I24, FIND("-", I24) + 1, LEN(I24))), 'Land Uses'!$A$1:$F$194, 3, FALSE), ""))</f>
        <v/>
      </c>
      <c r="P24" s="97"/>
      <c r="Q24" s="97"/>
      <c r="R24" s="5"/>
      <c r="S24" s="37" t="str">
        <f>IF(I24="", "", _xlfn.IFNA(VLOOKUP(TRIM(MID(I24, FIND("-", I24) + 1, LEN(I24))), 'Land Uses'!$A$1:$F$194, 2, FALSE), ""))</f>
        <v/>
      </c>
      <c r="T24" s="92" t="str">
        <f>IF(I24="",
  "",
  _xlfn.IFNA(
    IF(
      INDEX('Land Uses'!$F$1:$F$194, MATCH(TRIM(MID(I24, FIND("-", I24) + 1, LEN(I24))), 'Land Uses'!$A$1:$A$194, 0)) = "FCE",
        IF(
          AND(
            R24 &gt;= INDEX('Land Uses'!$L$1:$L$194, MATCH(TRIM(MID(I24, FIND("-", I24) + 1, LEN(I24))), 'Land Uses'!$A$1:$A$194, 0)),
            R24 &lt;= INDEX('Land Uses'!$M$1:$M$194, MATCH(TRIM(MID(I24, FIND("-", I24) + 1, LEN(I24))), 'Land Uses'!$A$1:$A$194, 0))
          ),
          "FCE",
          TEXT(INDEX('Land Uses'!$D$1:$D$194, MATCH(TRIM(MID(I24, FIND("-", I24) + 1, LEN(I24))), 'Land Uses'!$A$1:$A$194, 0)),"0.00") &amp; "x"
        ),
      TEXT(INDEX('Land Uses'!$D$1:$D$194, MATCH(TRIM(MID(I24, FIND("-", I24) + 1, LEN(I24))), 'Land Uses'!$A$1:$A$194, 0)),"0.00") &amp; "x"
    ),
  "")
)</f>
        <v/>
      </c>
      <c r="U24" s="93"/>
      <c r="V24" s="94" t="str">
        <f>IF(R24="", "",
  IF(LEFT(T24, 3)="FCE",
    IF(VLOOKUP(S24, 'Land Uses'!$B$1:$L$194, 10, FALSE)="Linear",
      (VLOOKUP(S24, 'Land Uses'!$B$1:$L$194, 7, FALSE) * R24 + VLOOKUP(S24, 'Land Uses'!$B$1:$L$194, 8, FALSE)) * VLOOKUP(S24, 'Land Uses'!$B$1:$L$194, 9, FALSE),
    IF(VLOOKUP(S24, 'Land Uses'!$B$1:$L$194, 10, FALSE)="Exponential",
      EXP(VLOOKUP(S24, 'Land Uses'!$B$1:$L$194, 7, FALSE) * LN(R24) + VLOOKUP(S24, 'Land Uses'!$B$1:$L$194, 8, FALSE)),
    "Unknown Type")),
  IF(ISNUMBER(FIND("x", T24)),
    --LEFT(T24, FIND("x", T24) - 1) * R24,
  "Invalid"))
)</f>
        <v/>
      </c>
      <c r="W24" s="95"/>
      <c r="X24" s="28"/>
      <c r="Y24" s="18"/>
      <c r="Z24" s="18"/>
      <c r="AC24" s="20"/>
      <c r="AD24" s="20"/>
      <c r="AE24" s="20"/>
      <c r="AF24" s="20"/>
      <c r="AG24" s="20"/>
      <c r="AH24" s="20"/>
      <c r="AI24" s="20"/>
      <c r="AJ24" s="20"/>
      <c r="AK24" s="20"/>
      <c r="AL24" s="20"/>
    </row>
    <row r="25" spans="1:38" ht="18.75" customHeight="1">
      <c r="A25" s="21"/>
      <c r="B25" s="1"/>
      <c r="C25" s="5"/>
      <c r="D25" s="98"/>
      <c r="E25" s="100"/>
      <c r="F25" s="98"/>
      <c r="G25" s="99"/>
      <c r="H25" s="100"/>
      <c r="I25" s="98"/>
      <c r="J25" s="99"/>
      <c r="K25" s="99"/>
      <c r="L25" s="99"/>
      <c r="M25" s="99"/>
      <c r="N25" s="100"/>
      <c r="O25" s="96" t="str">
        <f>IF(I25="", "", _xlfn.IFNA(VLOOKUP(TRIM(MID(I25, FIND("-", I25) + 1, LEN(I25))), 'Land Uses'!$A$1:$F$194, 3, FALSE), ""))</f>
        <v/>
      </c>
      <c r="P25" s="97"/>
      <c r="Q25" s="97"/>
      <c r="R25" s="5"/>
      <c r="S25" s="37" t="str">
        <f>IF(I25="", "", _xlfn.IFNA(VLOOKUP(TRIM(MID(I25, FIND("-", I25) + 1, LEN(I25))), 'Land Uses'!$A$1:$F$194, 2, FALSE), ""))</f>
        <v/>
      </c>
      <c r="T25" s="92" t="str">
        <f>IF(I25="",
  "",
  _xlfn.IFNA(
    IF(
      INDEX('Land Uses'!$F$1:$F$194, MATCH(TRIM(MID(I25, FIND("-", I25) + 1, LEN(I25))), 'Land Uses'!$A$1:$A$194, 0)) = "FCE",
        IF(
          AND(
            R25 &gt;= INDEX('Land Uses'!$L$1:$L$194, MATCH(TRIM(MID(I25, FIND("-", I25) + 1, LEN(I25))), 'Land Uses'!$A$1:$A$194, 0)),
            R25 &lt;= INDEX('Land Uses'!$M$1:$M$194, MATCH(TRIM(MID(I25, FIND("-", I25) + 1, LEN(I25))), 'Land Uses'!$A$1:$A$194, 0))
          ),
          "FCE",
          TEXT(INDEX('Land Uses'!$D$1:$D$194, MATCH(TRIM(MID(I25, FIND("-", I25) + 1, LEN(I25))), 'Land Uses'!$A$1:$A$194, 0)),"0.00") &amp; "x"
        ),
      TEXT(INDEX('Land Uses'!$D$1:$D$194, MATCH(TRIM(MID(I25, FIND("-", I25) + 1, LEN(I25))), 'Land Uses'!$A$1:$A$194, 0)),"0.00") &amp; "x"
    ),
  "")
)</f>
        <v/>
      </c>
      <c r="U25" s="93"/>
      <c r="V25" s="94" t="str">
        <f>IF(R25="", "",
  IF(LEFT(T25, 3)="FCE",
    IF(VLOOKUP(S25, 'Land Uses'!$B$1:$L$194, 10, FALSE)="Linear",
      (VLOOKUP(S25, 'Land Uses'!$B$1:$L$194, 7, FALSE) * R25 + VLOOKUP(S25, 'Land Uses'!$B$1:$L$194, 8, FALSE)) * VLOOKUP(S25, 'Land Uses'!$B$1:$L$194, 9, FALSE),
    IF(VLOOKUP(S25, 'Land Uses'!$B$1:$L$194, 10, FALSE)="Exponential",
      EXP(VLOOKUP(S25, 'Land Uses'!$B$1:$L$194, 7, FALSE) * LN(R25) + VLOOKUP(S25, 'Land Uses'!$B$1:$L$194, 8, FALSE)),
    "Unknown Type")),
  IF(ISNUMBER(FIND("x", T25)),
    --LEFT(T25, FIND("x", T25) - 1) * R25,
  "Invalid"))
)</f>
        <v/>
      </c>
      <c r="W25" s="95"/>
      <c r="X25" s="28"/>
      <c r="Y25" s="18"/>
      <c r="Z25" s="18"/>
      <c r="AC25" s="20"/>
      <c r="AD25" s="20"/>
      <c r="AE25" s="20"/>
      <c r="AF25" s="20"/>
      <c r="AG25" s="20"/>
      <c r="AH25" s="20"/>
      <c r="AI25" s="20"/>
      <c r="AJ25" s="20"/>
      <c r="AK25" s="20"/>
      <c r="AL25" s="20"/>
    </row>
    <row r="26" spans="1:38" ht="18.75" hidden="1" customHeight="1">
      <c r="A26" s="21"/>
      <c r="B26" s="1"/>
      <c r="C26" s="1"/>
      <c r="D26" s="98"/>
      <c r="E26" s="100"/>
      <c r="F26" s="98"/>
      <c r="G26" s="99"/>
      <c r="H26" s="100"/>
      <c r="I26" s="98"/>
      <c r="J26" s="99"/>
      <c r="K26" s="99"/>
      <c r="L26" s="99"/>
      <c r="M26" s="99"/>
      <c r="N26" s="100"/>
      <c r="O26" s="96" t="str">
        <f>IF(I26="", "", _xlfn.IFNA(VLOOKUP(TRIM(MID(I26, FIND("-", I26) + 1, LEN(I26))), 'Land Uses'!$A$1:$F$194, 3, FALSE), ""))</f>
        <v/>
      </c>
      <c r="P26" s="97"/>
      <c r="Q26" s="97"/>
      <c r="R26" s="1"/>
      <c r="S26" s="37" t="str">
        <f>IF(I26="", "", _xlfn.IFNA(VLOOKUP(TRIM(MID(I26, FIND("-", I26) + 1, LEN(I26))), 'Land Uses'!$A$1:$F$194, 2, FALSE), ""))</f>
        <v/>
      </c>
      <c r="T26" s="92" t="str">
        <f>IF(I26="",
  "",
  _xlfn.IFNA(
    IF(
      INDEX('Land Uses'!$F$1:$F$194, MATCH(TRIM(MID(I26, FIND("-", I26) + 1, LEN(I26))), 'Land Uses'!$A$1:$A$194, 0)) = "FCE",
        IF(
          AND(
            R26 &gt;= INDEX('Land Uses'!$L$1:$L$194, MATCH(TRIM(MID(I26, FIND("-", I26) + 1, LEN(I26))), 'Land Uses'!$A$1:$A$194, 0)),
            R26 &lt;= INDEX('Land Uses'!$M$1:$M$194, MATCH(TRIM(MID(I26, FIND("-", I26) + 1, LEN(I26))), 'Land Uses'!$A$1:$A$194, 0))
          ),
          "FCE",
          TEXT(INDEX('Land Uses'!$D$1:$D$194, MATCH(TRIM(MID(I26, FIND("-", I26) + 1, LEN(I26))), 'Land Uses'!$A$1:$A$194, 0)),"0.00") &amp; "x"
        ),
      TEXT(INDEX('Land Uses'!$D$1:$D$194, MATCH(TRIM(MID(I26, FIND("-", I26) + 1, LEN(I26))), 'Land Uses'!$A$1:$A$194, 0)),"0.00") &amp; "x"
    ),
  "")
)</f>
        <v/>
      </c>
      <c r="U26" s="93"/>
      <c r="V26" s="94" t="str">
        <f>IF(R26="", "",
  IF(LEFT(T26, 3)="FCE",
    IF(VLOOKUP(S26, 'Land Uses'!$B$1:$L$194, 10, FALSE)="Linear",
      (VLOOKUP(S26, 'Land Uses'!$B$1:$L$194, 7, FALSE) * R26 + VLOOKUP(S26, 'Land Uses'!$B$1:$L$194, 8, FALSE)) * VLOOKUP(S26, 'Land Uses'!$B$1:$L$194, 9, FALSE),
    IF(VLOOKUP(S26, 'Land Uses'!$B$1:$L$194, 10, FALSE)="Exponential",
      EXP(VLOOKUP(S26, 'Land Uses'!$B$1:$L$194, 7, FALSE) * LN(R26) + VLOOKUP(S26, 'Land Uses'!$B$1:$L$194, 8, FALSE)),
    "Unknown Type")),
  IF(ISNUMBER(FIND("x", T26)),
    --LEFT(T26, FIND("x", T26) - 1) * R26,
  "Invalid"))
)</f>
        <v/>
      </c>
      <c r="W26" s="95"/>
      <c r="X26" s="28"/>
      <c r="Y26" s="18"/>
      <c r="Z26" s="18"/>
      <c r="AC26" s="20"/>
      <c r="AD26" s="20"/>
      <c r="AE26" s="20"/>
      <c r="AF26" s="20"/>
      <c r="AG26" s="20"/>
      <c r="AH26" s="20"/>
      <c r="AI26" s="20"/>
      <c r="AJ26" s="20"/>
      <c r="AK26" s="20"/>
      <c r="AL26" s="20"/>
    </row>
    <row r="27" spans="1:38" ht="18.75" hidden="1" customHeight="1">
      <c r="A27" s="21"/>
      <c r="B27" s="1"/>
      <c r="C27" s="1"/>
      <c r="D27" s="98"/>
      <c r="E27" s="100"/>
      <c r="F27" s="98"/>
      <c r="G27" s="99"/>
      <c r="H27" s="100"/>
      <c r="I27" s="98"/>
      <c r="J27" s="99"/>
      <c r="K27" s="99"/>
      <c r="L27" s="99"/>
      <c r="M27" s="99"/>
      <c r="N27" s="100"/>
      <c r="O27" s="96" t="str">
        <f>IF(I27="", "", _xlfn.IFNA(VLOOKUP(TRIM(MID(I27, FIND("-", I27) + 1, LEN(I27))), 'Land Uses'!$A$1:$F$194, 3, FALSE), ""))</f>
        <v/>
      </c>
      <c r="P27" s="97"/>
      <c r="Q27" s="97"/>
      <c r="R27" s="1"/>
      <c r="S27" s="37" t="str">
        <f>IF(I27="", "", _xlfn.IFNA(VLOOKUP(TRIM(MID(I27, FIND("-", I27) + 1, LEN(I27))), 'Land Uses'!$A$1:$F$194, 2, FALSE), ""))</f>
        <v/>
      </c>
      <c r="T27" s="92" t="str">
        <f>IF(I27="",
  "",
  _xlfn.IFNA(
    IF(
      INDEX('Land Uses'!$F$1:$F$194, MATCH(TRIM(MID(I27, FIND("-", I27) + 1, LEN(I27))), 'Land Uses'!$A$1:$A$194, 0)) = "FCE",
        IF(
          AND(
            R27 &gt;= INDEX('Land Uses'!$L$1:$L$194, MATCH(TRIM(MID(I27, FIND("-", I27) + 1, LEN(I27))), 'Land Uses'!$A$1:$A$194, 0)),
            R27 &lt;= INDEX('Land Uses'!$M$1:$M$194, MATCH(TRIM(MID(I27, FIND("-", I27) + 1, LEN(I27))), 'Land Uses'!$A$1:$A$194, 0))
          ),
          "FCE",
          TEXT(INDEX('Land Uses'!$D$1:$D$194, MATCH(TRIM(MID(I27, FIND("-", I27) + 1, LEN(I27))), 'Land Uses'!$A$1:$A$194, 0)),"0.00") &amp; "x"
        ),
      TEXT(INDEX('Land Uses'!$D$1:$D$194, MATCH(TRIM(MID(I27, FIND("-", I27) + 1, LEN(I27))), 'Land Uses'!$A$1:$A$194, 0)),"0.00") &amp; "x"
    ),
  "")
)</f>
        <v/>
      </c>
      <c r="U27" s="93"/>
      <c r="V27" s="94" t="str">
        <f>IF(R27="", "",
  IF(LEFT(T27, 3)="FCE",
    IF(VLOOKUP(S27, 'Land Uses'!$B$1:$L$194, 10, FALSE)="Linear",
      (VLOOKUP(S27, 'Land Uses'!$B$1:$L$194, 7, FALSE) * R27 + VLOOKUP(S27, 'Land Uses'!$B$1:$L$194, 8, FALSE)) * VLOOKUP(S27, 'Land Uses'!$B$1:$L$194, 9, FALSE),
    IF(VLOOKUP(S27, 'Land Uses'!$B$1:$L$194, 10, FALSE)="Exponential",
      EXP(VLOOKUP(S27, 'Land Uses'!$B$1:$L$194, 7, FALSE) * LN(R27) + VLOOKUP(S27, 'Land Uses'!$B$1:$L$194, 8, FALSE)),
    "Unknown Type")),
  IF(ISNUMBER(FIND("x", T27)),
    --LEFT(T27, FIND("x", T27) - 1) * R27,
  "Invalid"))
)</f>
        <v/>
      </c>
      <c r="W27" s="95"/>
      <c r="X27" s="28"/>
      <c r="Y27" s="18"/>
      <c r="Z27" s="18"/>
      <c r="AC27" s="20"/>
      <c r="AD27" s="20"/>
      <c r="AE27" s="20"/>
      <c r="AF27" s="20"/>
      <c r="AG27" s="20"/>
      <c r="AH27" s="20"/>
      <c r="AI27" s="20"/>
      <c r="AJ27" s="20"/>
      <c r="AK27" s="20"/>
      <c r="AL27" s="20"/>
    </row>
    <row r="28" spans="1:38" ht="12" customHeight="1">
      <c r="A28" s="21"/>
      <c r="B28" s="39" t="s">
        <v>5</v>
      </c>
      <c r="C28" s="40" t="s">
        <v>676</v>
      </c>
      <c r="D28" s="41"/>
      <c r="E28" s="35"/>
      <c r="F28" s="35"/>
      <c r="G28" s="35"/>
      <c r="H28" s="35"/>
      <c r="I28" s="35"/>
      <c r="J28" s="35"/>
      <c r="K28" s="35"/>
      <c r="L28" s="35"/>
      <c r="M28" s="18"/>
      <c r="N28" s="18"/>
      <c r="O28" s="18"/>
      <c r="P28" s="18"/>
      <c r="Q28" s="18"/>
      <c r="R28" s="18"/>
      <c r="S28" s="17"/>
      <c r="T28" s="17"/>
      <c r="U28" s="17"/>
      <c r="V28" s="17"/>
      <c r="W28" s="17"/>
      <c r="X28" s="28"/>
      <c r="Y28" s="18"/>
      <c r="Z28" s="18"/>
      <c r="AC28" s="20"/>
      <c r="AD28" s="20"/>
      <c r="AE28" s="136"/>
      <c r="AF28" s="136"/>
      <c r="AG28" s="20"/>
      <c r="AH28" s="20"/>
      <c r="AI28" s="20"/>
      <c r="AJ28" s="20"/>
      <c r="AK28" s="20"/>
      <c r="AL28" s="20"/>
    </row>
    <row r="29" spans="1:38" ht="12" hidden="1" customHeight="1">
      <c r="A29" s="21"/>
      <c r="B29" s="17" t="s">
        <v>424</v>
      </c>
      <c r="C29" s="36" t="s">
        <v>425</v>
      </c>
      <c r="D29" s="116" t="s">
        <v>2</v>
      </c>
      <c r="E29" s="116"/>
      <c r="F29" s="116" t="s">
        <v>470</v>
      </c>
      <c r="G29" s="116"/>
      <c r="H29" s="116"/>
      <c r="I29" s="116" t="s">
        <v>4</v>
      </c>
      <c r="J29" s="116"/>
      <c r="K29" s="116"/>
      <c r="L29" s="116"/>
      <c r="M29" s="116"/>
      <c r="N29" s="116"/>
      <c r="O29" s="116" t="s">
        <v>669</v>
      </c>
      <c r="P29" s="116"/>
      <c r="Q29" s="116"/>
      <c r="R29" s="17" t="s">
        <v>443</v>
      </c>
      <c r="S29" s="17" t="s">
        <v>674</v>
      </c>
      <c r="T29" s="116" t="s">
        <v>17</v>
      </c>
      <c r="U29" s="116"/>
      <c r="V29" s="116" t="s">
        <v>409</v>
      </c>
      <c r="W29" s="116"/>
      <c r="X29" s="28"/>
      <c r="Y29" s="18"/>
      <c r="Z29" s="18"/>
      <c r="AC29" s="20"/>
      <c r="AD29" s="20"/>
      <c r="AE29" s="20"/>
      <c r="AF29" s="20"/>
      <c r="AG29" s="20"/>
      <c r="AH29" s="20"/>
      <c r="AI29" s="20"/>
      <c r="AJ29" s="20"/>
      <c r="AK29" s="20"/>
      <c r="AL29" s="20"/>
    </row>
    <row r="30" spans="1:38" ht="12" hidden="1" customHeight="1">
      <c r="A30" s="21"/>
      <c r="B30" s="42"/>
      <c r="C30" s="42"/>
      <c r="D30" s="134"/>
      <c r="E30" s="135"/>
      <c r="F30" s="117"/>
      <c r="G30" s="118"/>
      <c r="H30" s="119"/>
      <c r="I30" s="117"/>
      <c r="J30" s="118"/>
      <c r="K30" s="118"/>
      <c r="L30" s="118"/>
      <c r="M30" s="118"/>
      <c r="N30" s="119"/>
      <c r="O30" s="117"/>
      <c r="P30" s="118"/>
      <c r="Q30" s="119"/>
      <c r="R30" s="42"/>
      <c r="S30" s="37"/>
      <c r="T30" s="92"/>
      <c r="U30" s="93"/>
      <c r="V30" s="92"/>
      <c r="W30" s="93"/>
      <c r="X30" s="28"/>
      <c r="Y30" s="18"/>
      <c r="Z30" s="18"/>
      <c r="AC30" s="20"/>
      <c r="AD30" s="20"/>
      <c r="AE30" s="20"/>
      <c r="AF30" s="20"/>
      <c r="AG30" s="20"/>
      <c r="AH30" s="20"/>
      <c r="AI30" s="20"/>
      <c r="AJ30" s="20"/>
      <c r="AK30" s="20"/>
      <c r="AL30" s="20"/>
    </row>
    <row r="31" spans="1:38" ht="12" hidden="1" customHeight="1">
      <c r="A31" s="21"/>
      <c r="B31" s="42"/>
      <c r="C31" s="42"/>
      <c r="D31" s="134"/>
      <c r="E31" s="135"/>
      <c r="F31" s="117"/>
      <c r="G31" s="118"/>
      <c r="H31" s="119"/>
      <c r="I31" s="117"/>
      <c r="J31" s="118"/>
      <c r="K31" s="118"/>
      <c r="L31" s="118"/>
      <c r="M31" s="118"/>
      <c r="N31" s="119"/>
      <c r="O31" s="117"/>
      <c r="P31" s="118"/>
      <c r="Q31" s="119"/>
      <c r="R31" s="42"/>
      <c r="S31" s="37"/>
      <c r="T31" s="92"/>
      <c r="U31" s="93"/>
      <c r="V31" s="92"/>
      <c r="W31" s="93"/>
      <c r="X31" s="28"/>
      <c r="Y31" s="18"/>
      <c r="Z31" s="18"/>
      <c r="AC31" s="20"/>
      <c r="AD31" s="20"/>
      <c r="AE31" s="20"/>
      <c r="AF31" s="20"/>
      <c r="AG31" s="20"/>
      <c r="AH31" s="20"/>
      <c r="AI31" s="20"/>
      <c r="AJ31" s="20"/>
      <c r="AK31" s="20"/>
      <c r="AL31" s="20"/>
    </row>
    <row r="32" spans="1:38" ht="12" hidden="1" customHeight="1">
      <c r="A32" s="21"/>
      <c r="B32" s="42"/>
      <c r="C32" s="42"/>
      <c r="D32" s="134"/>
      <c r="E32" s="135"/>
      <c r="F32" s="117"/>
      <c r="G32" s="118"/>
      <c r="H32" s="119"/>
      <c r="I32" s="117"/>
      <c r="J32" s="118"/>
      <c r="K32" s="118"/>
      <c r="L32" s="118"/>
      <c r="M32" s="118"/>
      <c r="N32" s="119"/>
      <c r="O32" s="117"/>
      <c r="P32" s="118"/>
      <c r="Q32" s="119"/>
      <c r="R32" s="42"/>
      <c r="S32" s="37"/>
      <c r="T32" s="92"/>
      <c r="U32" s="93"/>
      <c r="V32" s="92"/>
      <c r="W32" s="93"/>
      <c r="X32" s="28"/>
      <c r="Y32" s="18"/>
      <c r="Z32" s="18"/>
      <c r="AC32" s="20"/>
      <c r="AD32" s="20"/>
      <c r="AE32" s="20"/>
      <c r="AF32" s="20"/>
      <c r="AG32" s="20"/>
      <c r="AH32" s="20"/>
      <c r="AI32" s="20"/>
      <c r="AJ32" s="20"/>
      <c r="AK32" s="20"/>
      <c r="AL32" s="20"/>
    </row>
    <row r="33" spans="1:38" ht="12" customHeight="1">
      <c r="A33" s="21"/>
      <c r="B33" s="147" t="s">
        <v>677</v>
      </c>
      <c r="C33" s="147"/>
      <c r="D33" s="147"/>
      <c r="E33" s="147"/>
      <c r="F33" s="147"/>
      <c r="G33" s="147"/>
      <c r="H33" s="147"/>
      <c r="I33" s="147"/>
      <c r="J33" s="147"/>
      <c r="K33" s="147"/>
      <c r="L33" s="147"/>
      <c r="M33" s="147"/>
      <c r="N33" s="147"/>
      <c r="O33" s="147"/>
      <c r="P33" s="147"/>
      <c r="Q33" s="147"/>
      <c r="R33" s="147"/>
      <c r="S33" s="147"/>
      <c r="T33" s="147"/>
      <c r="U33" s="147"/>
      <c r="V33" s="147"/>
      <c r="W33" s="147"/>
      <c r="X33" s="28"/>
      <c r="Y33" s="18"/>
      <c r="Z33" s="18"/>
      <c r="AC33" s="20"/>
      <c r="AD33" s="20"/>
      <c r="AE33" s="20"/>
      <c r="AF33" s="20"/>
      <c r="AG33" s="20"/>
      <c r="AH33" s="20"/>
      <c r="AI33" s="20"/>
      <c r="AJ33" s="20"/>
      <c r="AK33" s="20"/>
      <c r="AL33" s="20"/>
    </row>
    <row r="34" spans="1:38" ht="12" customHeight="1">
      <c r="A34" s="21"/>
      <c r="B34" s="35" t="s">
        <v>452</v>
      </c>
      <c r="C34" s="35"/>
      <c r="D34" s="35"/>
      <c r="E34" s="35"/>
      <c r="F34" s="35"/>
      <c r="G34" s="35"/>
      <c r="H34" s="35"/>
      <c r="I34" s="35"/>
      <c r="J34" s="35"/>
      <c r="K34" s="35"/>
      <c r="L34" s="35"/>
      <c r="M34" s="35"/>
      <c r="N34" s="18"/>
      <c r="O34" s="18"/>
      <c r="P34" s="18"/>
      <c r="Q34" s="18"/>
      <c r="R34" s="18"/>
      <c r="S34" s="18"/>
      <c r="T34" s="18"/>
      <c r="U34" s="17" t="s">
        <v>455</v>
      </c>
      <c r="V34" s="17"/>
      <c r="W34" s="18"/>
      <c r="X34" s="28"/>
      <c r="Y34" s="18"/>
      <c r="Z34" s="18"/>
      <c r="AC34" s="20"/>
      <c r="AD34" s="20"/>
      <c r="AE34" s="20"/>
      <c r="AF34" s="20"/>
      <c r="AG34" s="20"/>
      <c r="AH34" s="20"/>
      <c r="AI34" s="20"/>
      <c r="AJ34" s="20"/>
      <c r="AK34" s="20"/>
      <c r="AL34" s="20"/>
    </row>
    <row r="35" spans="1:38" ht="12" customHeight="1">
      <c r="A35" s="21"/>
      <c r="B35" s="17" t="s">
        <v>424</v>
      </c>
      <c r="C35" s="36" t="s">
        <v>425</v>
      </c>
      <c r="D35" s="116" t="s">
        <v>2</v>
      </c>
      <c r="E35" s="116"/>
      <c r="F35" s="116" t="s">
        <v>470</v>
      </c>
      <c r="G35" s="116"/>
      <c r="H35" s="116"/>
      <c r="I35" s="116" t="s">
        <v>670</v>
      </c>
      <c r="J35" s="116"/>
      <c r="K35" s="116"/>
      <c r="L35" s="116"/>
      <c r="M35" s="116"/>
      <c r="N35" s="116"/>
      <c r="O35" s="116" t="s">
        <v>669</v>
      </c>
      <c r="P35" s="116"/>
      <c r="Q35" s="116"/>
      <c r="R35" s="17" t="s">
        <v>443</v>
      </c>
      <c r="S35" s="17" t="s">
        <v>678</v>
      </c>
      <c r="T35" s="116" t="s">
        <v>482</v>
      </c>
      <c r="U35" s="116"/>
      <c r="V35" s="116" t="s">
        <v>409</v>
      </c>
      <c r="W35" s="116"/>
      <c r="X35" s="28"/>
      <c r="Y35" s="18"/>
      <c r="Z35" s="18"/>
      <c r="AC35" s="20"/>
      <c r="AD35" s="133" t="s">
        <v>471</v>
      </c>
      <c r="AE35" s="43"/>
      <c r="AF35" s="43"/>
      <c r="AG35" s="43"/>
      <c r="AH35" s="43"/>
      <c r="AI35" s="43"/>
      <c r="AJ35" s="20" t="b">
        <v>0</v>
      </c>
      <c r="AK35" s="20" t="b">
        <v>0</v>
      </c>
      <c r="AL35" s="20" t="b">
        <v>0</v>
      </c>
    </row>
    <row r="36" spans="1:38" ht="19.5" customHeight="1">
      <c r="A36" s="21"/>
      <c r="B36" s="1"/>
      <c r="C36" s="5"/>
      <c r="D36" s="98"/>
      <c r="E36" s="100"/>
      <c r="F36" s="98"/>
      <c r="G36" s="99"/>
      <c r="H36" s="99"/>
      <c r="I36" s="98"/>
      <c r="J36" s="99"/>
      <c r="K36" s="99"/>
      <c r="L36" s="99"/>
      <c r="M36" s="99"/>
      <c r="N36" s="100"/>
      <c r="O36" s="96" t="str">
        <f>IF(I36="", "", _xlfn.IFNA(VLOOKUP(TRIM(MID(I36, FIND("-", I36) + 1, LEN(I36))), 'Land Uses'!$A$1:$F$194, 3, FALSE), ""))</f>
        <v/>
      </c>
      <c r="P36" s="97"/>
      <c r="Q36" s="97"/>
      <c r="R36" s="5"/>
      <c r="S36" s="37" t="str">
        <f>IF(I36="", "", _xlfn.IFNA(VLOOKUP(TRIM(MID(I36, FIND("-", I36) + 1, LEN(I36))), 'Land Uses'!$A$1:$F$194, 2, FALSE), ""))</f>
        <v/>
      </c>
      <c r="T36" s="92" t="str">
        <f>IF(I36="",
  "",
  _xlfn.IFNA(
    IF(
      INDEX('Land Uses'!$F$1:$F$194, MATCH(TRIM(MID(I36, FIND("-", I36) + 1, LEN(I36))), 'Land Uses'!$A$1:$A$194, 0)) = "FCE",
        IF(
          AND(
            R36 &gt;= INDEX('Land Uses'!$L$1:$L$194, MATCH(TRIM(MID(I36, FIND("-", I36) + 1, LEN(I36))), 'Land Uses'!$A$1:$A$194, 0)),
            R36 &lt;= INDEX('Land Uses'!$M$1:$M$194, MATCH(TRIM(MID(I36, FIND("-", I36) + 1, LEN(I36))), 'Land Uses'!$A$1:$A$194, 0))
          ),
          "FCE",
          TEXT(INDEX('Land Uses'!$D$1:$D$194, MATCH(TRIM(MID(I36, FIND("-", I36) + 1, LEN(I36))), 'Land Uses'!$A$1:$A$194, 0)),"0.00") &amp; "x"
        ),
      TEXT(INDEX('Land Uses'!$D$1:$D$194, MATCH(TRIM(MID(I36, FIND("-", I36) + 1, LEN(I36))), 'Land Uses'!$A$1:$A$194, 0)),"0.00") &amp; "x"
    ),
  "")
)</f>
        <v/>
      </c>
      <c r="U36" s="93"/>
      <c r="V36" s="94" t="str">
        <f>IF(R36="", "",
  IF(LEFT(T36, 3)="FCE",
    IF(VLOOKUP(S36, 'Land Uses'!$B$1:$L$194, 10, FALSE)="Linear",
      (VLOOKUP(S36, 'Land Uses'!$B$1:$L$194, 7, FALSE) * R36 + VLOOKUP(S36, 'Land Uses'!$B$1:$L$194, 8, FALSE)) * VLOOKUP(S36, 'Land Uses'!$B$1:$L$194, 9, FALSE),
    IF(VLOOKUP(S36, 'Land Uses'!$B$1:$L$194, 10, FALSE)="Exponential",
      EXP(VLOOKUP(S36, 'Land Uses'!$B$1:$L$194, 7, FALSE) * LN(R36) + VLOOKUP(S36, 'Land Uses'!$B$1:$L$194, 8, FALSE)),
    "Unknown Type")),
  IF(ISNUMBER(FIND("x", T36)),
    --LEFT(T36, FIND("x", T36) - 1) * R36,
  "Invalid"))
)</f>
        <v/>
      </c>
      <c r="W36" s="95"/>
      <c r="X36" s="28"/>
      <c r="Y36" s="35"/>
      <c r="Z36" s="18"/>
      <c r="AC36" s="20"/>
      <c r="AD36" s="133"/>
      <c r="AE36" s="43"/>
      <c r="AF36" s="43"/>
      <c r="AG36" s="43"/>
      <c r="AH36" s="43"/>
      <c r="AI36" s="43"/>
      <c r="AJ36" s="20" t="b">
        <v>0</v>
      </c>
      <c r="AK36" s="20" t="b">
        <v>0</v>
      </c>
      <c r="AL36" s="20" t="b">
        <v>0</v>
      </c>
    </row>
    <row r="37" spans="1:38" ht="19.5" customHeight="1">
      <c r="A37" s="21"/>
      <c r="B37" s="1"/>
      <c r="C37" s="5"/>
      <c r="D37" s="98"/>
      <c r="E37" s="100"/>
      <c r="F37" s="98"/>
      <c r="G37" s="99"/>
      <c r="H37" s="99"/>
      <c r="I37" s="98"/>
      <c r="J37" s="99"/>
      <c r="K37" s="99"/>
      <c r="L37" s="99"/>
      <c r="M37" s="99"/>
      <c r="N37" s="100"/>
      <c r="O37" s="96" t="str">
        <f>IF(I37="", "", _xlfn.IFNA(VLOOKUP(TRIM(MID(I37, FIND("-", I37) + 1, LEN(I37))), 'Land Uses'!$A$1:$F$194, 3, FALSE), ""))</f>
        <v/>
      </c>
      <c r="P37" s="97"/>
      <c r="Q37" s="97"/>
      <c r="R37" s="5"/>
      <c r="S37" s="37" t="str">
        <f>IF(I37="", "", _xlfn.IFNA(VLOOKUP(TRIM(MID(I37, FIND("-", I37) + 1, LEN(I37))), 'Land Uses'!$A$1:$F$194, 2, FALSE), ""))</f>
        <v/>
      </c>
      <c r="T37" s="92" t="str">
        <f>IF(I37="",
  "",
  _xlfn.IFNA(
    IF(
      INDEX('Land Uses'!$F$1:$F$194, MATCH(TRIM(MID(I37, FIND("-", I37) + 1, LEN(I37))), 'Land Uses'!$A$1:$A$194, 0)) = "FCE",
        IF(
          AND(
            R37 &gt;= INDEX('Land Uses'!$L$1:$L$194, MATCH(TRIM(MID(I37, FIND("-", I37) + 1, LEN(I37))), 'Land Uses'!$A$1:$A$194, 0)),
            R37 &lt;= INDEX('Land Uses'!$M$1:$M$194, MATCH(TRIM(MID(I37, FIND("-", I37) + 1, LEN(I37))), 'Land Uses'!$A$1:$A$194, 0))
          ),
          "FCE",
          TEXT(INDEX('Land Uses'!$D$1:$D$194, MATCH(TRIM(MID(I37, FIND("-", I37) + 1, LEN(I37))), 'Land Uses'!$A$1:$A$194, 0)),"0.00") &amp; "x"
        ),
      TEXT(INDEX('Land Uses'!$D$1:$D$194, MATCH(TRIM(MID(I37, FIND("-", I37) + 1, LEN(I37))), 'Land Uses'!$A$1:$A$194, 0)),"0.00") &amp; "x"
    ),
  "")
)</f>
        <v/>
      </c>
      <c r="U37" s="93"/>
      <c r="V37" s="94" t="str">
        <f>IF(R37="", "",
  IF(LEFT(T37, 3)="FCE",
    IF(VLOOKUP(S37, 'Land Uses'!$B$1:$L$194, 10, FALSE)="Linear",
      (VLOOKUP(S37, 'Land Uses'!$B$1:$L$194, 7, FALSE) * R37 + VLOOKUP(S37, 'Land Uses'!$B$1:$L$194, 8, FALSE)) * VLOOKUP(S37, 'Land Uses'!$B$1:$L$194, 9, FALSE),
    IF(VLOOKUP(S37, 'Land Uses'!$B$1:$L$194, 10, FALSE)="Exponential",
      EXP(VLOOKUP(S37, 'Land Uses'!$B$1:$L$194, 7, FALSE) * LN(R37) + VLOOKUP(S37, 'Land Uses'!$B$1:$L$194, 8, FALSE)),
    "Unknown Type")),
  IF(ISNUMBER(FIND("x", T37)),
    --LEFT(T37, FIND("x", T37) - 1) * R37,
  "Invalid"))
)</f>
        <v/>
      </c>
      <c r="W37" s="95"/>
      <c r="X37" s="28"/>
      <c r="Y37" s="18"/>
      <c r="Z37" s="18"/>
      <c r="AC37" s="20"/>
      <c r="AD37" s="133"/>
      <c r="AE37" s="43"/>
      <c r="AF37" s="43"/>
      <c r="AG37" s="43"/>
      <c r="AH37" s="43"/>
      <c r="AI37" s="43"/>
      <c r="AJ37" s="20" t="b">
        <v>0</v>
      </c>
      <c r="AK37" s="20" t="b">
        <v>0</v>
      </c>
      <c r="AL37" s="20"/>
    </row>
    <row r="38" spans="1:38" ht="19.5" customHeight="1">
      <c r="A38" s="21"/>
      <c r="B38" s="1"/>
      <c r="C38" s="5"/>
      <c r="D38" s="98"/>
      <c r="E38" s="100"/>
      <c r="F38" s="98"/>
      <c r="G38" s="99"/>
      <c r="H38" s="99"/>
      <c r="I38" s="98"/>
      <c r="J38" s="99"/>
      <c r="K38" s="99"/>
      <c r="L38" s="99"/>
      <c r="M38" s="99"/>
      <c r="N38" s="100"/>
      <c r="O38" s="96" t="str">
        <f>IF(I38="", "", _xlfn.IFNA(VLOOKUP(TRIM(MID(I38, FIND("-", I38) + 1, LEN(I38))), 'Land Uses'!$A$1:$F$194, 3, FALSE), ""))</f>
        <v/>
      </c>
      <c r="P38" s="97"/>
      <c r="Q38" s="97"/>
      <c r="R38" s="5"/>
      <c r="S38" s="37" t="str">
        <f>IF(I38="", "", _xlfn.IFNA(VLOOKUP(TRIM(MID(I38, FIND("-", I38) + 1, LEN(I38))), 'Land Uses'!$A$1:$F$194, 2, FALSE), ""))</f>
        <v/>
      </c>
      <c r="T38" s="92" t="str">
        <f>IF(I38="",
  "",
  _xlfn.IFNA(
    IF(
      INDEX('Land Uses'!$F$1:$F$194, MATCH(TRIM(MID(I38, FIND("-", I38) + 1, LEN(I38))), 'Land Uses'!$A$1:$A$194, 0)) = "FCE",
        IF(
          AND(
            R38 &gt;= INDEX('Land Uses'!$L$1:$L$194, MATCH(TRIM(MID(I38, FIND("-", I38) + 1, LEN(I38))), 'Land Uses'!$A$1:$A$194, 0)),
            R38 &lt;= INDEX('Land Uses'!$M$1:$M$194, MATCH(TRIM(MID(I38, FIND("-", I38) + 1, LEN(I38))), 'Land Uses'!$A$1:$A$194, 0))
          ),
          "FCE",
          TEXT(INDEX('Land Uses'!$D$1:$D$194, MATCH(TRIM(MID(I38, FIND("-", I38) + 1, LEN(I38))), 'Land Uses'!$A$1:$A$194, 0)),"0.00") &amp; "x"
        ),
      TEXT(INDEX('Land Uses'!$D$1:$D$194, MATCH(TRIM(MID(I38, FIND("-", I38) + 1, LEN(I38))), 'Land Uses'!$A$1:$A$194, 0)),"0.00") &amp; "x"
    ),
  "")
)</f>
        <v/>
      </c>
      <c r="U38" s="93"/>
      <c r="V38" s="94" t="str">
        <f>IF(R38="", "",
  IF(LEFT(T38, 3)="FCE",
    IF(VLOOKUP(S38, 'Land Uses'!$B$1:$L$194, 10, FALSE)="Linear",
      (VLOOKUP(S38, 'Land Uses'!$B$1:$L$194, 7, FALSE) * R38 + VLOOKUP(S38, 'Land Uses'!$B$1:$L$194, 8, FALSE)) * VLOOKUP(S38, 'Land Uses'!$B$1:$L$194, 9, FALSE),
    IF(VLOOKUP(S38, 'Land Uses'!$B$1:$L$194, 10, FALSE)="Exponential",
      EXP(VLOOKUP(S38, 'Land Uses'!$B$1:$L$194, 7, FALSE) * LN(R38) + VLOOKUP(S38, 'Land Uses'!$B$1:$L$194, 8, FALSE)),
    "Unknown Type")),
  IF(ISNUMBER(FIND("x", T38)),
    --LEFT(T38, FIND("x", T38) - 1) * R38,
  "Invalid"))
)</f>
        <v/>
      </c>
      <c r="W38" s="95"/>
      <c r="X38" s="28"/>
      <c r="Y38" s="18"/>
      <c r="Z38" s="18"/>
      <c r="AC38" s="20"/>
      <c r="AD38" s="133"/>
      <c r="AE38" s="43"/>
      <c r="AF38" s="43"/>
      <c r="AG38" s="43"/>
      <c r="AH38" s="43"/>
      <c r="AI38" s="43"/>
      <c r="AJ38" s="20"/>
      <c r="AK38" s="20"/>
      <c r="AL38" s="20"/>
    </row>
    <row r="39" spans="1:38" ht="19.5" customHeight="1">
      <c r="A39" s="21"/>
      <c r="B39" s="1"/>
      <c r="C39" s="5"/>
      <c r="D39" s="98"/>
      <c r="E39" s="100"/>
      <c r="F39" s="98"/>
      <c r="G39" s="99"/>
      <c r="H39" s="99"/>
      <c r="I39" s="98"/>
      <c r="J39" s="99"/>
      <c r="K39" s="99"/>
      <c r="L39" s="99"/>
      <c r="M39" s="99"/>
      <c r="N39" s="100"/>
      <c r="O39" s="96" t="str">
        <f>IF(I39="", "", _xlfn.IFNA(VLOOKUP(TRIM(MID(I39, FIND("-", I39) + 1, LEN(I39))), 'Land Uses'!$A$1:$F$194, 3, FALSE), ""))</f>
        <v/>
      </c>
      <c r="P39" s="97"/>
      <c r="Q39" s="97"/>
      <c r="R39" s="5"/>
      <c r="S39" s="37" t="str">
        <f>IF(I39="", "", _xlfn.IFNA(VLOOKUP(TRIM(MID(I39, FIND("-", I39) + 1, LEN(I39))), 'Land Uses'!$A$1:$F$194, 2, FALSE), ""))</f>
        <v/>
      </c>
      <c r="T39" s="92" t="str">
        <f>IF(I39="",
  "",
  _xlfn.IFNA(
    IF(
      INDEX('Land Uses'!$F$1:$F$194, MATCH(TRIM(MID(I39, FIND("-", I39) + 1, LEN(I39))), 'Land Uses'!$A$1:$A$194, 0)) = "FCE",
        IF(
          AND(
            R39 &gt;= INDEX('Land Uses'!$L$1:$L$194, MATCH(TRIM(MID(I39, FIND("-", I39) + 1, LEN(I39))), 'Land Uses'!$A$1:$A$194, 0)),
            R39 &lt;= INDEX('Land Uses'!$M$1:$M$194, MATCH(TRIM(MID(I39, FIND("-", I39) + 1, LEN(I39))), 'Land Uses'!$A$1:$A$194, 0))
          ),
          "FCE",
          TEXT(INDEX('Land Uses'!$D$1:$D$194, MATCH(TRIM(MID(I39, FIND("-", I39) + 1, LEN(I39))), 'Land Uses'!$A$1:$A$194, 0)),"0.00") &amp; "x"
        ),
      TEXT(INDEX('Land Uses'!$D$1:$D$194, MATCH(TRIM(MID(I39, FIND("-", I39) + 1, LEN(I39))), 'Land Uses'!$A$1:$A$194, 0)),"0.00") &amp; "x"
    ),
  "")
)</f>
        <v/>
      </c>
      <c r="U39" s="93"/>
      <c r="V39" s="94" t="str">
        <f>IF(R39="", "",
  IF(LEFT(T39, 3)="FCE",
    IF(VLOOKUP(S39, 'Land Uses'!$B$1:$L$194, 10, FALSE)="Linear",
      (VLOOKUP(S39, 'Land Uses'!$B$1:$L$194, 7, FALSE) * R39 + VLOOKUP(S39, 'Land Uses'!$B$1:$L$194, 8, FALSE)) * VLOOKUP(S39, 'Land Uses'!$B$1:$L$194, 9, FALSE),
    IF(VLOOKUP(S39, 'Land Uses'!$B$1:$L$194, 10, FALSE)="Exponential",
      EXP(VLOOKUP(S39, 'Land Uses'!$B$1:$L$194, 7, FALSE) * LN(R39) + VLOOKUP(S39, 'Land Uses'!$B$1:$L$194, 8, FALSE)),
    "Unknown Type")),
  IF(ISNUMBER(FIND("x", T39)),
    --LEFT(T39, FIND("x", T39) - 1) * R39,
  "Invalid"))
)</f>
        <v/>
      </c>
      <c r="W39" s="95"/>
      <c r="X39" s="28"/>
      <c r="Y39" s="18"/>
      <c r="Z39" s="18"/>
      <c r="AC39" s="20"/>
      <c r="AD39" s="133"/>
      <c r="AE39" s="43"/>
      <c r="AF39" s="43"/>
      <c r="AG39" s="43"/>
      <c r="AH39" s="43"/>
      <c r="AI39" s="43"/>
      <c r="AJ39" s="20"/>
      <c r="AK39" s="20"/>
      <c r="AL39" s="20"/>
    </row>
    <row r="40" spans="1:38" ht="19.5" customHeight="1">
      <c r="A40" s="21"/>
      <c r="B40" s="1"/>
      <c r="C40" s="5"/>
      <c r="D40" s="98"/>
      <c r="E40" s="100"/>
      <c r="F40" s="98"/>
      <c r="G40" s="99"/>
      <c r="H40" s="99"/>
      <c r="I40" s="98"/>
      <c r="J40" s="99"/>
      <c r="K40" s="99"/>
      <c r="L40" s="99"/>
      <c r="M40" s="99"/>
      <c r="N40" s="100"/>
      <c r="O40" s="96" t="str">
        <f>IF(I40="", "", _xlfn.IFNA(VLOOKUP(TRIM(MID(I40, FIND("-", I40) + 1, LEN(I40))), 'Land Uses'!$A$1:$F$194, 3, FALSE), ""))</f>
        <v/>
      </c>
      <c r="P40" s="97"/>
      <c r="Q40" s="97"/>
      <c r="R40" s="5"/>
      <c r="S40" s="37" t="str">
        <f>IF(I40="", "", _xlfn.IFNA(VLOOKUP(TRIM(MID(I40, FIND("-", I40) + 1, LEN(I40))), 'Land Uses'!$A$1:$F$194, 2, FALSE), ""))</f>
        <v/>
      </c>
      <c r="T40" s="92" t="str">
        <f>IF(I40="",
  "",
  _xlfn.IFNA(
    IF(
      INDEX('Land Uses'!$F$1:$F$194, MATCH(TRIM(MID(I40, FIND("-", I40) + 1, LEN(I40))), 'Land Uses'!$A$1:$A$194, 0)) = "FCE",
        IF(
          AND(
            R40 &gt;= INDEX('Land Uses'!$L$1:$L$194, MATCH(TRIM(MID(I40, FIND("-", I40) + 1, LEN(I40))), 'Land Uses'!$A$1:$A$194, 0)),
            R40 &lt;= INDEX('Land Uses'!$M$1:$M$194, MATCH(TRIM(MID(I40, FIND("-", I40) + 1, LEN(I40))), 'Land Uses'!$A$1:$A$194, 0))
          ),
          "FCE",
          TEXT(INDEX('Land Uses'!$D$1:$D$194, MATCH(TRIM(MID(I40, FIND("-", I40) + 1, LEN(I40))), 'Land Uses'!$A$1:$A$194, 0)),"0.00") &amp; "x"
        ),
      TEXT(INDEX('Land Uses'!$D$1:$D$194, MATCH(TRIM(MID(I40, FIND("-", I40) + 1, LEN(I40))), 'Land Uses'!$A$1:$A$194, 0)),"0.00") &amp; "x"
    ),
  "")
)</f>
        <v/>
      </c>
      <c r="U40" s="93"/>
      <c r="V40" s="94" t="str">
        <f>IF(R40="", "",
  IF(LEFT(T40, 3)="FCE",
    IF(VLOOKUP(S40, 'Land Uses'!$B$1:$L$194, 10, FALSE)="Linear",
      (VLOOKUP(S40, 'Land Uses'!$B$1:$L$194, 7, FALSE) * R40 + VLOOKUP(S40, 'Land Uses'!$B$1:$L$194, 8, FALSE)) * VLOOKUP(S40, 'Land Uses'!$B$1:$L$194, 9, FALSE),
    IF(VLOOKUP(S40, 'Land Uses'!$B$1:$L$194, 10, FALSE)="Exponential",
      EXP(VLOOKUP(S40, 'Land Uses'!$B$1:$L$194, 7, FALSE) * LN(R40) + VLOOKUP(S40, 'Land Uses'!$B$1:$L$194, 8, FALSE)),
    "Unknown Type")),
  IF(ISNUMBER(FIND("x", T40)),
    --LEFT(T40, FIND("x", T40) - 1) * R40,
  "Invalid"))
)</f>
        <v/>
      </c>
      <c r="W40" s="95"/>
      <c r="X40" s="28"/>
      <c r="Y40" s="18"/>
      <c r="Z40" s="18"/>
      <c r="AC40" s="20"/>
      <c r="AD40" s="43" t="s">
        <v>463</v>
      </c>
      <c r="AE40" s="43"/>
      <c r="AF40" s="43"/>
      <c r="AG40" s="43"/>
      <c r="AH40" s="43"/>
      <c r="AI40" s="43"/>
      <c r="AJ40" s="20"/>
      <c r="AK40" s="20"/>
      <c r="AL40" s="20"/>
    </row>
    <row r="41" spans="1:38" ht="18.75" customHeight="1">
      <c r="A41" s="21"/>
      <c r="B41" s="1"/>
      <c r="C41" s="5"/>
      <c r="D41" s="98"/>
      <c r="E41" s="100"/>
      <c r="F41" s="98"/>
      <c r="G41" s="99"/>
      <c r="H41" s="99"/>
      <c r="I41" s="98"/>
      <c r="J41" s="99"/>
      <c r="K41" s="99"/>
      <c r="L41" s="99"/>
      <c r="M41" s="99"/>
      <c r="N41" s="100"/>
      <c r="O41" s="96" t="str">
        <f>IF(I41="", "", _xlfn.IFNA(VLOOKUP(TRIM(MID(I41, FIND("-", I41) + 1, LEN(I41))), 'Land Uses'!$A$1:$F$194, 3, FALSE), ""))</f>
        <v/>
      </c>
      <c r="P41" s="97"/>
      <c r="Q41" s="97"/>
      <c r="R41" s="5"/>
      <c r="S41" s="37" t="str">
        <f>IF(I41="", "", _xlfn.IFNA(VLOOKUP(TRIM(MID(I41, FIND("-", I41) + 1, LEN(I41))), 'Land Uses'!$A$1:$F$194, 2, FALSE), ""))</f>
        <v/>
      </c>
      <c r="T41" s="92" t="str">
        <f>IF(I41="",
  "",
  _xlfn.IFNA(
    IF(
      INDEX('Land Uses'!$F$1:$F$194, MATCH(TRIM(MID(I41, FIND("-", I41) + 1, LEN(I41))), 'Land Uses'!$A$1:$A$194, 0)) = "FCE",
        IF(
          AND(
            R41 &gt;= INDEX('Land Uses'!$L$1:$L$194, MATCH(TRIM(MID(I41, FIND("-", I41) + 1, LEN(I41))), 'Land Uses'!$A$1:$A$194, 0)),
            R41 &lt;= INDEX('Land Uses'!$M$1:$M$194, MATCH(TRIM(MID(I41, FIND("-", I41) + 1, LEN(I41))), 'Land Uses'!$A$1:$A$194, 0))
          ),
          "FCE",
          TEXT(INDEX('Land Uses'!$D$1:$D$194, MATCH(TRIM(MID(I41, FIND("-", I41) + 1, LEN(I41))), 'Land Uses'!$A$1:$A$194, 0)),"0.00") &amp; "x"
        ),
      TEXT(INDEX('Land Uses'!$D$1:$D$194, MATCH(TRIM(MID(I41, FIND("-", I41) + 1, LEN(I41))), 'Land Uses'!$A$1:$A$194, 0)),"0.00") &amp; "x"
    ),
  "")
)</f>
        <v/>
      </c>
      <c r="U41" s="93"/>
      <c r="V41" s="94" t="str">
        <f>IF(R41="", "",
  IF(LEFT(T41, 3)="FCE",
    IF(VLOOKUP(S41, 'Land Uses'!$B$1:$L$194, 10, FALSE)="Linear",
      (VLOOKUP(S41, 'Land Uses'!$B$1:$L$194, 7, FALSE) * R41 + VLOOKUP(S41, 'Land Uses'!$B$1:$L$194, 8, FALSE)) * VLOOKUP(S41, 'Land Uses'!$B$1:$L$194, 9, FALSE),
    IF(VLOOKUP(S41, 'Land Uses'!$B$1:$L$194, 10, FALSE)="Exponential",
      EXP(VLOOKUP(S41, 'Land Uses'!$B$1:$L$194, 7, FALSE) * LN(R41) + VLOOKUP(S41, 'Land Uses'!$B$1:$L$194, 8, FALSE)),
    "Unknown Type")),
  IF(ISNUMBER(FIND("x", T41)),
    --LEFT(T41, FIND("x", T41) - 1) * R41,
  "Invalid"))
)</f>
        <v/>
      </c>
      <c r="W41" s="95"/>
      <c r="X41" s="28"/>
      <c r="Y41" s="18"/>
      <c r="Z41" s="18"/>
      <c r="AC41" s="20"/>
      <c r="AD41" s="20"/>
      <c r="AE41" s="20"/>
      <c r="AF41" s="20"/>
      <c r="AG41" s="20"/>
      <c r="AH41" s="20"/>
      <c r="AI41" s="20"/>
      <c r="AJ41" s="20"/>
      <c r="AK41" s="20"/>
      <c r="AL41" s="20"/>
    </row>
    <row r="42" spans="1:38" ht="18.75" customHeight="1">
      <c r="A42" s="21"/>
      <c r="B42" s="1"/>
      <c r="C42" s="5"/>
      <c r="D42" s="98"/>
      <c r="E42" s="100"/>
      <c r="F42" s="98"/>
      <c r="G42" s="99"/>
      <c r="H42" s="99"/>
      <c r="I42" s="98"/>
      <c r="J42" s="99"/>
      <c r="K42" s="99"/>
      <c r="L42" s="99"/>
      <c r="M42" s="99"/>
      <c r="N42" s="100"/>
      <c r="O42" s="96" t="str">
        <f>IF(I42="", "", _xlfn.IFNA(VLOOKUP(TRIM(MID(I42, FIND("-", I42) + 1, LEN(I42))), 'Land Uses'!$A$1:$F$194, 3, FALSE), ""))</f>
        <v/>
      </c>
      <c r="P42" s="97"/>
      <c r="Q42" s="97"/>
      <c r="R42" s="5"/>
      <c r="S42" s="37" t="str">
        <f>IF(I42="", "", _xlfn.IFNA(VLOOKUP(TRIM(MID(I42, FIND("-", I42) + 1, LEN(I42))), 'Land Uses'!$A$1:$F$194, 2, FALSE), ""))</f>
        <v/>
      </c>
      <c r="T42" s="92" t="str">
        <f>IF(I42="",
  "",
  _xlfn.IFNA(
    IF(
      INDEX('Land Uses'!$F$1:$F$194, MATCH(TRIM(MID(I42, FIND("-", I42) + 1, LEN(I42))), 'Land Uses'!$A$1:$A$194, 0)) = "FCE",
        IF(
          AND(
            R42 &gt;= INDEX('Land Uses'!$L$1:$L$194, MATCH(TRIM(MID(I42, FIND("-", I42) + 1, LEN(I42))), 'Land Uses'!$A$1:$A$194, 0)),
            R42 &lt;= INDEX('Land Uses'!$M$1:$M$194, MATCH(TRIM(MID(I42, FIND("-", I42) + 1, LEN(I42))), 'Land Uses'!$A$1:$A$194, 0))
          ),
          "FCE",
          TEXT(INDEX('Land Uses'!$D$1:$D$194, MATCH(TRIM(MID(I42, FIND("-", I42) + 1, LEN(I42))), 'Land Uses'!$A$1:$A$194, 0)),"0.00") &amp; "x"
        ),
      TEXT(INDEX('Land Uses'!$D$1:$D$194, MATCH(TRIM(MID(I42, FIND("-", I42) + 1, LEN(I42))), 'Land Uses'!$A$1:$A$194, 0)),"0.00") &amp; "x"
    ),
  "")
)</f>
        <v/>
      </c>
      <c r="U42" s="93"/>
      <c r="V42" s="94" t="str">
        <f>IF(R42="", "",
  IF(LEFT(T42, 3)="FCE",
    IF(VLOOKUP(S42, 'Land Uses'!$B$1:$L$194, 10, FALSE)="Linear",
      (VLOOKUP(S42, 'Land Uses'!$B$1:$L$194, 7, FALSE) * R42 + VLOOKUP(S42, 'Land Uses'!$B$1:$L$194, 8, FALSE)) * VLOOKUP(S42, 'Land Uses'!$B$1:$L$194, 9, FALSE),
    IF(VLOOKUP(S42, 'Land Uses'!$B$1:$L$194, 10, FALSE)="Exponential",
      EXP(VLOOKUP(S42, 'Land Uses'!$B$1:$L$194, 7, FALSE) * LN(R42) + VLOOKUP(S42, 'Land Uses'!$B$1:$L$194, 8, FALSE)),
    "Unknown Type")),
  IF(ISNUMBER(FIND("x", T42)),
    --LEFT(T42, FIND("x", T42) - 1) * R42,
  "Invalid"))
)</f>
        <v/>
      </c>
      <c r="W42" s="95"/>
      <c r="X42" s="28"/>
      <c r="Y42" s="18"/>
      <c r="Z42" s="18"/>
      <c r="AC42" s="20"/>
      <c r="AD42" s="20"/>
      <c r="AE42" s="20"/>
      <c r="AF42" s="20"/>
      <c r="AG42" s="20"/>
      <c r="AH42" s="20"/>
      <c r="AI42" s="20"/>
      <c r="AJ42" s="20"/>
      <c r="AK42" s="20"/>
      <c r="AL42" s="20"/>
    </row>
    <row r="43" spans="1:38" ht="18.75" customHeight="1">
      <c r="A43" s="21"/>
      <c r="B43" s="1"/>
      <c r="C43" s="5"/>
      <c r="D43" s="98"/>
      <c r="E43" s="100"/>
      <c r="F43" s="98"/>
      <c r="G43" s="99"/>
      <c r="H43" s="99"/>
      <c r="I43" s="98"/>
      <c r="J43" s="99"/>
      <c r="K43" s="99"/>
      <c r="L43" s="99"/>
      <c r="M43" s="99"/>
      <c r="N43" s="100"/>
      <c r="O43" s="96" t="str">
        <f>IF(I43="", "", _xlfn.IFNA(VLOOKUP(TRIM(MID(I43, FIND("-", I43) + 1, LEN(I43))), 'Land Uses'!$A$1:$F$194, 3, FALSE), ""))</f>
        <v/>
      </c>
      <c r="P43" s="97"/>
      <c r="Q43" s="97"/>
      <c r="R43" s="5"/>
      <c r="S43" s="37" t="str">
        <f>IF(I43="", "", _xlfn.IFNA(VLOOKUP(TRIM(MID(I43, FIND("-", I43) + 1, LEN(I43))), 'Land Uses'!$A$1:$F$194, 2, FALSE), ""))</f>
        <v/>
      </c>
      <c r="T43" s="92" t="str">
        <f>IF(I43="",
  "",
  _xlfn.IFNA(
    IF(
      INDEX('Land Uses'!$F$1:$F$194, MATCH(TRIM(MID(I43, FIND("-", I43) + 1, LEN(I43))), 'Land Uses'!$A$1:$A$194, 0)) = "FCE",
        IF(
          AND(
            R43 &gt;= INDEX('Land Uses'!$L$1:$L$194, MATCH(TRIM(MID(I43, FIND("-", I43) + 1, LEN(I43))), 'Land Uses'!$A$1:$A$194, 0)),
            R43 &lt;= INDEX('Land Uses'!$M$1:$M$194, MATCH(TRIM(MID(I43, FIND("-", I43) + 1, LEN(I43))), 'Land Uses'!$A$1:$A$194, 0))
          ),
          "FCE",
          TEXT(INDEX('Land Uses'!$D$1:$D$194, MATCH(TRIM(MID(I43, FIND("-", I43) + 1, LEN(I43))), 'Land Uses'!$A$1:$A$194, 0)),"0.00") &amp; "x"
        ),
      TEXT(INDEX('Land Uses'!$D$1:$D$194, MATCH(TRIM(MID(I43, FIND("-", I43) + 1, LEN(I43))), 'Land Uses'!$A$1:$A$194, 0)),"0.00") &amp; "x"
    ),
  "")
)</f>
        <v/>
      </c>
      <c r="U43" s="93"/>
      <c r="V43" s="94" t="str">
        <f>IF(R43="", "",
  IF(LEFT(T43, 3)="FCE",
    IF(VLOOKUP(S43, 'Land Uses'!$B$1:$L$194, 10, FALSE)="Linear",
      (VLOOKUP(S43, 'Land Uses'!$B$1:$L$194, 7, FALSE) * R43 + VLOOKUP(S43, 'Land Uses'!$B$1:$L$194, 8, FALSE)) * VLOOKUP(S43, 'Land Uses'!$B$1:$L$194, 9, FALSE),
    IF(VLOOKUP(S43, 'Land Uses'!$B$1:$L$194, 10, FALSE)="Exponential",
      EXP(VLOOKUP(S43, 'Land Uses'!$B$1:$L$194, 7, FALSE) * LN(R43) + VLOOKUP(S43, 'Land Uses'!$B$1:$L$194, 8, FALSE)),
    "Unknown Type")),
  IF(ISNUMBER(FIND("x", T43)),
    --LEFT(T43, FIND("x", T43) - 1) * R43,
  "Invalid"))
)</f>
        <v/>
      </c>
      <c r="W43" s="95"/>
      <c r="X43" s="28"/>
      <c r="Y43" s="18"/>
      <c r="Z43" s="18"/>
    </row>
    <row r="44" spans="1:38" ht="18.75" hidden="1" customHeight="1">
      <c r="A44" s="21"/>
      <c r="B44" s="1"/>
      <c r="C44" s="1"/>
      <c r="D44" s="98"/>
      <c r="E44" s="100"/>
      <c r="F44" s="98"/>
      <c r="G44" s="99"/>
      <c r="H44" s="99"/>
      <c r="I44" s="98"/>
      <c r="J44" s="99"/>
      <c r="K44" s="99"/>
      <c r="L44" s="99"/>
      <c r="M44" s="99"/>
      <c r="N44" s="100"/>
      <c r="O44" s="96" t="str">
        <f>IF(I44="", "", _xlfn.IFNA(VLOOKUP(TRIM(MID(I44, FIND("-", I44) + 1, LEN(I44))), 'Land Uses'!$A$1:$F$194, 3, FALSE), ""))</f>
        <v/>
      </c>
      <c r="P44" s="97"/>
      <c r="Q44" s="97"/>
      <c r="R44" s="1"/>
      <c r="S44" s="37" t="str">
        <f>IF(I44="", "", _xlfn.IFNA(VLOOKUP(TRIM(MID(I44, FIND("-", I44) + 1, LEN(I44))), 'Land Uses'!$A$1:$F$194, 2, FALSE), ""))</f>
        <v/>
      </c>
      <c r="T44" s="92" t="str">
        <f>IF(I44="",
  "",
  _xlfn.IFNA(
    IF(
      INDEX('Land Uses'!$F$1:$F$194, MATCH(TRIM(MID(I44, FIND("-", I44) + 1, LEN(I44))), 'Land Uses'!$A$1:$A$194, 0)) = "FCE",
        IF(
          AND(
            R44 &gt;= INDEX('Land Uses'!$L$1:$L$194, MATCH(TRIM(MID(I44, FIND("-", I44) + 1, LEN(I44))), 'Land Uses'!$A$1:$A$194, 0)),
            R44 &lt;= INDEX('Land Uses'!$M$1:$M$194, MATCH(TRIM(MID(I44, FIND("-", I44) + 1, LEN(I44))), 'Land Uses'!$A$1:$A$194, 0))
          ),
          "FCE",
          TEXT(INDEX('Land Uses'!$D$1:$D$194, MATCH(TRIM(MID(I44, FIND("-", I44) + 1, LEN(I44))), 'Land Uses'!$A$1:$A$194, 0)),"0.00") &amp; "x"
        ),
      TEXT(INDEX('Land Uses'!$D$1:$D$194, MATCH(TRIM(MID(I44, FIND("-", I44) + 1, LEN(I44))), 'Land Uses'!$A$1:$A$194, 0)),"0.00") &amp; "x"
    ),
  "")
)</f>
        <v/>
      </c>
      <c r="U44" s="93"/>
      <c r="V44" s="94" t="str">
        <f>IF(R44="", "",
  IF(LEFT(T44, 3)="FCE",
    IF(VLOOKUP(S44, 'Land Uses'!$B$1:$L$194, 10, FALSE)="Linear",
      (VLOOKUP(S44, 'Land Uses'!$B$1:$L$194, 7, FALSE) * R44 + VLOOKUP(S44, 'Land Uses'!$B$1:$L$194, 8, FALSE)) * VLOOKUP(S44, 'Land Uses'!$B$1:$L$194, 9, FALSE),
    IF(VLOOKUP(S44, 'Land Uses'!$B$1:$L$194, 10, FALSE)="Exponential",
      EXP(VLOOKUP(S44, 'Land Uses'!$B$1:$L$194, 7, FALSE) * LN(R44) + VLOOKUP(S44, 'Land Uses'!$B$1:$L$194, 8, FALSE)),
    "Unknown Type")),
  IF(ISNUMBER(FIND("x", T44)),
    --LEFT(T44, FIND("x", T44) - 1) * R44,
  "Invalid"))
)</f>
        <v/>
      </c>
      <c r="W44" s="95"/>
      <c r="X44" s="28"/>
      <c r="Y44" s="18"/>
      <c r="Z44" s="18"/>
    </row>
    <row r="45" spans="1:38" ht="18.75" hidden="1" customHeight="1">
      <c r="A45" s="21"/>
      <c r="B45" s="1"/>
      <c r="C45" s="1"/>
      <c r="D45" s="98"/>
      <c r="E45" s="100"/>
      <c r="F45" s="98"/>
      <c r="G45" s="99"/>
      <c r="H45" s="99"/>
      <c r="I45" s="98"/>
      <c r="J45" s="99"/>
      <c r="K45" s="99"/>
      <c r="L45" s="99"/>
      <c r="M45" s="99"/>
      <c r="N45" s="100"/>
      <c r="O45" s="96" t="str">
        <f>IF(I45="", "", _xlfn.IFNA(VLOOKUP(TRIM(MID(I45, FIND("-", I45) + 1, LEN(I45))), 'Land Uses'!$A$1:$F$194, 3, FALSE), ""))</f>
        <v/>
      </c>
      <c r="P45" s="97"/>
      <c r="Q45" s="97"/>
      <c r="R45" s="1"/>
      <c r="S45" s="37" t="str">
        <f>IF(I45="", "", _xlfn.IFNA(VLOOKUP(TRIM(MID(I45, FIND("-", I45) + 1, LEN(I45))), 'Land Uses'!$A$1:$F$194, 2, FALSE), ""))</f>
        <v/>
      </c>
      <c r="T45" s="92" t="str">
        <f>IF(I45="",
  "",
  _xlfn.IFNA(
    IF(
      INDEX('Land Uses'!$F$1:$F$194, MATCH(TRIM(MID(I45, FIND("-", I45) + 1, LEN(I45))), 'Land Uses'!$A$1:$A$194, 0)) = "FCE",
        IF(
          AND(
            R45 &gt;= INDEX('Land Uses'!$L$1:$L$194, MATCH(TRIM(MID(I45, FIND("-", I45) + 1, LEN(I45))), 'Land Uses'!$A$1:$A$194, 0)),
            R45 &lt;= INDEX('Land Uses'!$M$1:$M$194, MATCH(TRIM(MID(I45, FIND("-", I45) + 1, LEN(I45))), 'Land Uses'!$A$1:$A$194, 0))
          ),
          "FCE",
          TEXT(INDEX('Land Uses'!$D$1:$D$194, MATCH(TRIM(MID(I45, FIND("-", I45) + 1, LEN(I45))), 'Land Uses'!$A$1:$A$194, 0)),"0.00") &amp; "x"
        ),
      TEXT(INDEX('Land Uses'!$D$1:$D$194, MATCH(TRIM(MID(I45, FIND("-", I45) + 1, LEN(I45))), 'Land Uses'!$A$1:$A$194, 0)),"0.00") &amp; "x"
    ),
  "")
)</f>
        <v/>
      </c>
      <c r="U45" s="93"/>
      <c r="V45" s="94" t="str">
        <f>IF(R45="", "",
  IF(LEFT(T45, 3)="FCE",
    IF(VLOOKUP(S45, 'Land Uses'!$B$1:$L$194, 10, FALSE)="Linear",
      (VLOOKUP(S45, 'Land Uses'!$B$1:$L$194, 7, FALSE) * R45 + VLOOKUP(S45, 'Land Uses'!$B$1:$L$194, 8, FALSE)) * VLOOKUP(S45, 'Land Uses'!$B$1:$L$194, 9, FALSE),
    IF(VLOOKUP(S45, 'Land Uses'!$B$1:$L$194, 10, FALSE)="Exponential",
      EXP(VLOOKUP(S45, 'Land Uses'!$B$1:$L$194, 7, FALSE) * LN(R45) + VLOOKUP(S45, 'Land Uses'!$B$1:$L$194, 8, FALSE)),
    "Unknown Type")),
  IF(ISNUMBER(FIND("x", T45)),
    --LEFT(T45, FIND("x", T45) - 1) * R45,
  "Invalid"))
)</f>
        <v/>
      </c>
      <c r="W45" s="95"/>
      <c r="X45" s="28"/>
      <c r="Y45" s="18"/>
      <c r="Z45" s="18"/>
    </row>
    <row r="46" spans="1:38" ht="12" customHeight="1">
      <c r="A46" s="21"/>
      <c r="B46" s="39" t="s">
        <v>5</v>
      </c>
      <c r="C46" s="40" t="s">
        <v>676</v>
      </c>
      <c r="D46" s="41"/>
      <c r="E46" s="35"/>
      <c r="F46" s="35"/>
      <c r="G46" s="35"/>
      <c r="H46" s="35"/>
      <c r="I46" s="35"/>
      <c r="J46" s="35"/>
      <c r="K46" s="35"/>
      <c r="L46" s="35"/>
      <c r="M46" s="18"/>
      <c r="N46" s="18"/>
      <c r="O46" s="18"/>
      <c r="P46" s="18"/>
      <c r="Q46" s="18"/>
      <c r="R46" s="18"/>
      <c r="S46" s="18"/>
      <c r="T46" s="18"/>
      <c r="U46" s="17"/>
      <c r="V46" s="17"/>
      <c r="W46" s="18"/>
      <c r="X46" s="28"/>
      <c r="Y46" s="18"/>
      <c r="Z46" s="18"/>
      <c r="AB46" s="2"/>
    </row>
    <row r="47" spans="1:38" ht="12" hidden="1" customHeight="1">
      <c r="A47" s="21"/>
      <c r="B47" s="17" t="s">
        <v>424</v>
      </c>
      <c r="C47" s="36" t="s">
        <v>425</v>
      </c>
      <c r="D47" s="116" t="s">
        <v>2</v>
      </c>
      <c r="E47" s="116"/>
      <c r="F47" s="116" t="s">
        <v>417</v>
      </c>
      <c r="G47" s="116"/>
      <c r="H47" s="116"/>
      <c r="I47" s="116" t="s">
        <v>4</v>
      </c>
      <c r="J47" s="116"/>
      <c r="K47" s="116"/>
      <c r="L47" s="116"/>
      <c r="M47" s="116"/>
      <c r="N47" s="116"/>
      <c r="O47" s="116" t="s">
        <v>669</v>
      </c>
      <c r="P47" s="116"/>
      <c r="Q47" s="116"/>
      <c r="R47" s="17" t="s">
        <v>443</v>
      </c>
      <c r="S47" s="17" t="s">
        <v>442</v>
      </c>
      <c r="T47" s="116" t="s">
        <v>482</v>
      </c>
      <c r="U47" s="116"/>
      <c r="V47" s="116" t="s">
        <v>409</v>
      </c>
      <c r="W47" s="116"/>
      <c r="X47" s="28"/>
      <c r="Y47" s="18"/>
      <c r="Z47" s="18"/>
      <c r="AB47" s="2" t="b">
        <v>0</v>
      </c>
    </row>
    <row r="48" spans="1:38" ht="12" hidden="1" customHeight="1">
      <c r="A48" s="21"/>
      <c r="B48" s="42"/>
      <c r="C48" s="42"/>
      <c r="D48" s="134"/>
      <c r="E48" s="135"/>
      <c r="F48" s="117"/>
      <c r="G48" s="118"/>
      <c r="H48" s="119"/>
      <c r="I48" s="117"/>
      <c r="J48" s="118"/>
      <c r="K48" s="118"/>
      <c r="L48" s="118"/>
      <c r="M48" s="118"/>
      <c r="N48" s="119"/>
      <c r="O48" s="117"/>
      <c r="P48" s="118"/>
      <c r="Q48" s="119"/>
      <c r="R48" s="42"/>
      <c r="S48" s="37"/>
      <c r="T48" s="92"/>
      <c r="U48" s="93"/>
      <c r="V48" s="92"/>
      <c r="W48" s="93"/>
      <c r="X48" s="28"/>
      <c r="Y48" s="18"/>
      <c r="Z48" s="18"/>
      <c r="AB48" s="2" t="b">
        <v>0</v>
      </c>
    </row>
    <row r="49" spans="1:28" ht="12" hidden="1" customHeight="1">
      <c r="A49" s="21"/>
      <c r="B49" s="42"/>
      <c r="C49" s="42"/>
      <c r="D49" s="134"/>
      <c r="E49" s="135"/>
      <c r="F49" s="117"/>
      <c r="G49" s="118"/>
      <c r="H49" s="119"/>
      <c r="I49" s="117"/>
      <c r="J49" s="118"/>
      <c r="K49" s="118"/>
      <c r="L49" s="118"/>
      <c r="M49" s="118"/>
      <c r="N49" s="119"/>
      <c r="O49" s="117"/>
      <c r="P49" s="118"/>
      <c r="Q49" s="119"/>
      <c r="R49" s="42"/>
      <c r="S49" s="37"/>
      <c r="T49" s="92"/>
      <c r="U49" s="93"/>
      <c r="V49" s="92"/>
      <c r="W49" s="93"/>
      <c r="X49" s="28"/>
      <c r="Y49" s="18"/>
      <c r="Z49" s="18"/>
    </row>
    <row r="50" spans="1:28" ht="12" hidden="1" customHeight="1">
      <c r="A50" s="21"/>
      <c r="B50" s="42"/>
      <c r="C50" s="42"/>
      <c r="D50" s="134"/>
      <c r="E50" s="135"/>
      <c r="F50" s="117"/>
      <c r="G50" s="118"/>
      <c r="H50" s="119"/>
      <c r="I50" s="117"/>
      <c r="J50" s="118"/>
      <c r="K50" s="118"/>
      <c r="L50" s="118"/>
      <c r="M50" s="118"/>
      <c r="N50" s="119"/>
      <c r="O50" s="117"/>
      <c r="P50" s="118"/>
      <c r="Q50" s="119"/>
      <c r="R50" s="42"/>
      <c r="S50" s="37"/>
      <c r="T50" s="92"/>
      <c r="U50" s="93"/>
      <c r="V50" s="92"/>
      <c r="W50" s="93"/>
      <c r="X50" s="28"/>
      <c r="Y50" s="18"/>
      <c r="Z50" s="18"/>
    </row>
    <row r="51" spans="1:28" ht="12" customHeight="1">
      <c r="A51" s="21"/>
      <c r="B51" s="147" t="s">
        <v>677</v>
      </c>
      <c r="C51" s="147"/>
      <c r="D51" s="147"/>
      <c r="E51" s="147"/>
      <c r="F51" s="147"/>
      <c r="G51" s="147"/>
      <c r="H51" s="147"/>
      <c r="I51" s="147"/>
      <c r="J51" s="147"/>
      <c r="K51" s="147"/>
      <c r="L51" s="147"/>
      <c r="M51" s="147"/>
      <c r="N51" s="147"/>
      <c r="O51" s="147"/>
      <c r="P51" s="147"/>
      <c r="Q51" s="147"/>
      <c r="R51" s="147"/>
      <c r="S51" s="147"/>
      <c r="T51" s="147"/>
      <c r="U51" s="147"/>
      <c r="V51" s="147"/>
      <c r="W51" s="147"/>
      <c r="X51" s="28"/>
      <c r="Y51" s="18"/>
      <c r="Z51" s="18"/>
    </row>
    <row r="52" spans="1:28" ht="12" customHeight="1">
      <c r="A52" s="21"/>
      <c r="B52" s="35" t="s">
        <v>6</v>
      </c>
      <c r="C52" s="35"/>
      <c r="D52" s="35"/>
      <c r="E52" s="35"/>
      <c r="F52" s="35"/>
      <c r="G52" s="35"/>
      <c r="H52" s="35"/>
      <c r="I52" s="35"/>
      <c r="J52" s="35"/>
      <c r="K52" s="35"/>
      <c r="L52" s="35"/>
      <c r="M52" s="35"/>
      <c r="N52" s="18"/>
      <c r="O52" s="18"/>
      <c r="P52" s="18"/>
      <c r="Q52" s="18"/>
      <c r="R52" s="18"/>
      <c r="S52" s="18"/>
      <c r="T52" s="18"/>
      <c r="U52" s="44" t="str">
        <f>IF(AB19&gt;=0,"Net Trips:","")</f>
        <v>Net Trips:</v>
      </c>
      <c r="V52" s="154">
        <f>IF(AB19&gt;=0,AB19,"")</f>
        <v>0</v>
      </c>
      <c r="W52" s="154"/>
      <c r="X52" s="28"/>
      <c r="Y52" s="18"/>
      <c r="Z52" s="18"/>
    </row>
    <row r="53" spans="1:28" ht="12" customHeight="1">
      <c r="A53" s="21"/>
      <c r="B53" s="116" t="s">
        <v>7</v>
      </c>
      <c r="C53" s="116"/>
      <c r="D53" s="116"/>
      <c r="E53" s="116"/>
      <c r="F53" s="116"/>
      <c r="G53" s="116"/>
      <c r="H53" s="116"/>
      <c r="I53" s="116"/>
      <c r="J53" s="116"/>
      <c r="K53" s="116" t="s">
        <v>8</v>
      </c>
      <c r="L53" s="116"/>
      <c r="M53" s="116"/>
      <c r="N53" s="116"/>
      <c r="O53" s="116" t="s">
        <v>9</v>
      </c>
      <c r="P53" s="116"/>
      <c r="Q53" s="116"/>
      <c r="R53" s="116"/>
      <c r="S53" s="116"/>
      <c r="T53" s="116" t="s">
        <v>10</v>
      </c>
      <c r="U53" s="116"/>
      <c r="V53" s="116"/>
      <c r="W53" s="116"/>
      <c r="X53" s="28"/>
      <c r="Y53" s="18"/>
      <c r="Z53" s="18"/>
    </row>
    <row r="54" spans="1:28" ht="12" customHeight="1">
      <c r="A54" s="21"/>
      <c r="B54" s="101"/>
      <c r="C54" s="102"/>
      <c r="D54" s="102"/>
      <c r="E54" s="102"/>
      <c r="F54" s="102"/>
      <c r="G54" s="102"/>
      <c r="H54" s="102"/>
      <c r="I54" s="102"/>
      <c r="J54" s="103"/>
      <c r="K54" s="128"/>
      <c r="L54" s="129"/>
      <c r="M54" s="129"/>
      <c r="N54" s="130"/>
      <c r="O54" s="128"/>
      <c r="P54" s="129"/>
      <c r="Q54" s="129"/>
      <c r="R54" s="129"/>
      <c r="S54" s="130"/>
      <c r="T54" s="128"/>
      <c r="U54" s="129"/>
      <c r="V54" s="129"/>
      <c r="W54" s="130"/>
      <c r="X54" s="28"/>
      <c r="Y54" s="18"/>
      <c r="Z54" s="18"/>
    </row>
    <row r="55" spans="1:28" ht="12" customHeight="1">
      <c r="A55" s="21"/>
      <c r="B55" s="101"/>
      <c r="C55" s="102"/>
      <c r="D55" s="102"/>
      <c r="E55" s="102"/>
      <c r="F55" s="102"/>
      <c r="G55" s="102"/>
      <c r="H55" s="102"/>
      <c r="I55" s="102"/>
      <c r="J55" s="103"/>
      <c r="K55" s="128"/>
      <c r="L55" s="129"/>
      <c r="M55" s="129"/>
      <c r="N55" s="130"/>
      <c r="O55" s="128"/>
      <c r="P55" s="129"/>
      <c r="Q55" s="129"/>
      <c r="R55" s="129"/>
      <c r="S55" s="130"/>
      <c r="T55" s="128"/>
      <c r="U55" s="129"/>
      <c r="V55" s="129"/>
      <c r="W55" s="130"/>
      <c r="X55" s="28"/>
      <c r="Y55" s="18"/>
      <c r="Z55" s="18"/>
    </row>
    <row r="56" spans="1:28" ht="12" customHeight="1">
      <c r="A56" s="21"/>
      <c r="B56" s="101"/>
      <c r="C56" s="102"/>
      <c r="D56" s="102"/>
      <c r="E56" s="102"/>
      <c r="F56" s="102"/>
      <c r="G56" s="102"/>
      <c r="H56" s="102"/>
      <c r="I56" s="102"/>
      <c r="J56" s="103"/>
      <c r="K56" s="128"/>
      <c r="L56" s="129"/>
      <c r="M56" s="129"/>
      <c r="N56" s="130"/>
      <c r="O56" s="128"/>
      <c r="P56" s="129"/>
      <c r="Q56" s="129"/>
      <c r="R56" s="129"/>
      <c r="S56" s="130"/>
      <c r="T56" s="128"/>
      <c r="U56" s="129"/>
      <c r="V56" s="129"/>
      <c r="W56" s="130"/>
      <c r="X56" s="28"/>
      <c r="Y56" s="18"/>
      <c r="Z56" s="18"/>
      <c r="AA56" s="19" t="s">
        <v>446</v>
      </c>
      <c r="AB56" s="19" t="b">
        <f>AND(IF(OR(K54="Y",K54="N/A (Existing)"),TRUE,FALSE),OR(T54=1,T54=2))</f>
        <v>0</v>
      </c>
    </row>
    <row r="57" spans="1:28" ht="12" customHeight="1">
      <c r="A57" s="21"/>
      <c r="B57" s="101"/>
      <c r="C57" s="102"/>
      <c r="D57" s="102"/>
      <c r="E57" s="102"/>
      <c r="F57" s="102"/>
      <c r="G57" s="102"/>
      <c r="H57" s="102"/>
      <c r="I57" s="102"/>
      <c r="J57" s="103"/>
      <c r="K57" s="128"/>
      <c r="L57" s="129"/>
      <c r="M57" s="129"/>
      <c r="N57" s="130"/>
      <c r="O57" s="128"/>
      <c r="P57" s="129"/>
      <c r="Q57" s="129"/>
      <c r="R57" s="129"/>
      <c r="S57" s="130"/>
      <c r="T57" s="128"/>
      <c r="U57" s="129"/>
      <c r="V57" s="129"/>
      <c r="W57" s="130"/>
      <c r="X57" s="28"/>
      <c r="Y57" s="18"/>
      <c r="Z57" s="18"/>
      <c r="AA57" s="19" t="s">
        <v>447</v>
      </c>
      <c r="AB57" s="19" t="b">
        <f>AND(IF(OR(K55="Y",K55="N/A (Existing)"),TRUE,FALSE),OR(T55=1,T55=2))</f>
        <v>0</v>
      </c>
    </row>
    <row r="58" spans="1:28" ht="15" customHeight="1" thickBot="1">
      <c r="A58" s="45" t="s">
        <v>688</v>
      </c>
      <c r="B58" s="46"/>
      <c r="C58" s="46"/>
      <c r="D58" s="46"/>
      <c r="E58" s="46"/>
      <c r="F58" s="46"/>
      <c r="G58" s="46"/>
      <c r="H58" s="46"/>
      <c r="I58" s="46"/>
      <c r="J58" s="46"/>
      <c r="K58" s="46"/>
      <c r="L58" s="47"/>
      <c r="M58" s="46"/>
      <c r="N58" s="46"/>
      <c r="O58" s="46"/>
      <c r="P58" s="46"/>
      <c r="Q58" s="46"/>
      <c r="R58" s="46"/>
      <c r="S58" s="46"/>
      <c r="T58" s="46"/>
      <c r="U58" s="46"/>
      <c r="V58" s="46"/>
      <c r="W58" s="46"/>
      <c r="X58" s="48"/>
      <c r="Y58" s="18"/>
      <c r="Z58" s="18"/>
      <c r="AA58" s="19" t="s">
        <v>448</v>
      </c>
      <c r="AB58" s="19" t="b">
        <f>AND(IF(OR(K56="Y",K56="N/A (Existing)"),TRUE,FALSE),OR(T56=1,T56=2))</f>
        <v>0</v>
      </c>
    </row>
    <row r="59" spans="1:28" ht="7.5" hidden="1" customHeight="1">
      <c r="A59" s="12"/>
      <c r="B59" s="13"/>
      <c r="C59" s="13"/>
      <c r="D59" s="13"/>
      <c r="E59" s="13"/>
      <c r="F59" s="13"/>
      <c r="G59" s="13"/>
      <c r="H59" s="13"/>
      <c r="I59" s="13"/>
      <c r="J59" s="13"/>
      <c r="K59" s="13"/>
      <c r="L59" s="13"/>
      <c r="M59" s="13"/>
      <c r="N59" s="13"/>
      <c r="O59" s="13"/>
      <c r="P59" s="13"/>
      <c r="Q59" s="13"/>
      <c r="R59" s="13"/>
      <c r="S59" s="13"/>
      <c r="T59" s="13"/>
      <c r="U59" s="13"/>
      <c r="V59" s="13"/>
      <c r="W59" s="13"/>
      <c r="X59" s="49"/>
      <c r="Y59" s="18"/>
      <c r="Z59" s="18"/>
      <c r="AA59" s="19" t="s">
        <v>684</v>
      </c>
      <c r="AB59" s="19" t="b">
        <f>AND(IF(OR(K57="Y",K57="N/A (Existing)"),TRUE,FALSE),OR(T57=1,T57=2))</f>
        <v>0</v>
      </c>
    </row>
    <row r="60" spans="1:28" ht="15" hidden="1" customHeight="1">
      <c r="A60" s="21"/>
      <c r="B60" s="18"/>
      <c r="C60" s="35" t="s">
        <v>11</v>
      </c>
      <c r="D60" s="18"/>
      <c r="E60" s="18"/>
      <c r="F60" s="18"/>
      <c r="G60" s="18"/>
      <c r="H60" s="31" t="str">
        <f>IF(AND(B63="?",AJ22=FALSE), "TPW Staff, for NTA: please confirm zoning in the Reviewer Section", IF(AJ22=FALSE, "TPW Staff, please confirm that you have reviewed the inputs and checked the Reviewer Section (Yellow Cell)", ""))</f>
        <v>TPW Staff, please confirm that you have reviewed the inputs and checked the Reviewer Section (Yellow Cell)</v>
      </c>
      <c r="I60" s="18"/>
      <c r="J60" s="18"/>
      <c r="K60" s="18"/>
      <c r="L60" s="18"/>
      <c r="M60" s="18"/>
      <c r="N60" s="35"/>
      <c r="O60" s="18"/>
      <c r="P60" s="18"/>
      <c r="Q60" s="18"/>
      <c r="R60" s="18"/>
      <c r="S60" s="18"/>
      <c r="T60" s="18"/>
      <c r="U60" s="18"/>
      <c r="V60" s="18"/>
      <c r="W60" s="18"/>
      <c r="X60" s="50"/>
    </row>
    <row r="61" spans="1:28" ht="6.75" hidden="1" customHeight="1">
      <c r="A61" s="21"/>
      <c r="B61" s="18"/>
      <c r="C61" s="18"/>
      <c r="D61" s="18"/>
      <c r="E61" s="18"/>
      <c r="F61" s="18"/>
      <c r="G61" s="18"/>
      <c r="H61" s="18"/>
      <c r="I61" s="18"/>
      <c r="J61" s="18"/>
      <c r="K61" s="18"/>
      <c r="L61" s="18"/>
      <c r="M61" s="18"/>
      <c r="N61" s="18"/>
      <c r="O61" s="18"/>
      <c r="P61" s="18"/>
      <c r="Q61" s="18"/>
      <c r="R61" s="18"/>
      <c r="S61" s="18"/>
      <c r="T61" s="18"/>
      <c r="U61" s="18"/>
      <c r="V61" s="18"/>
      <c r="W61" s="18"/>
      <c r="X61" s="50"/>
      <c r="Y61" s="51"/>
      <c r="Z61" s="19" t="s">
        <v>456</v>
      </c>
    </row>
    <row r="62" spans="1:28" ht="15" hidden="1" customHeight="1">
      <c r="A62" s="21"/>
      <c r="B62" s="18"/>
      <c r="C62" s="107" t="s">
        <v>412</v>
      </c>
      <c r="D62" s="108"/>
      <c r="E62" s="108"/>
      <c r="F62" s="108"/>
      <c r="G62" s="108"/>
      <c r="H62" s="108"/>
      <c r="I62" s="108"/>
      <c r="J62" s="108"/>
      <c r="K62" s="108"/>
      <c r="L62" s="108"/>
      <c r="M62" s="108"/>
      <c r="N62" s="108"/>
      <c r="O62" s="108"/>
      <c r="P62" s="108"/>
      <c r="Q62" s="108"/>
      <c r="R62" s="108"/>
      <c r="S62" s="108"/>
      <c r="T62" s="108"/>
      <c r="U62" s="108"/>
      <c r="V62" s="108"/>
      <c r="W62" s="109"/>
      <c r="X62" s="52"/>
      <c r="Y62" s="18"/>
      <c r="Z62" s="53" t="s">
        <v>464</v>
      </c>
    </row>
    <row r="63" spans="1:28" hidden="1">
      <c r="A63" s="21"/>
      <c r="B63" s="91" t="str">
        <f>IF(OR(B70="✔",B79="✔"),"",
   IF(AJ35=TRUE,"✔",IF(OR(AJ36=TRUE,AJ37=TRUE,AK35=TRUE,AK36=TRUE,AK37=TRUE,AL35=TRUE,AL36=TRUE),"",
      IF(AND(AB19&gt;300,AB19&lt;2000,OR(AB56=TRUE,AB57=TRUE,AB58=TRUE,AB59=TRUE)),
         IF(AND(AJ11=FALSE,AK11=FALSE,H10=FALSE),
            "?",
            IF(AND(AJ11=TRUE,AK11=FALSE,H10=FALSE),"✔",IF(AND(AJ11=FALSE,AK11=TRUE,H10=FALSE),"",""))
         ),
         ""
      ))
   )
)</f>
        <v/>
      </c>
      <c r="C63" s="110"/>
      <c r="D63" s="111"/>
      <c r="E63" s="111"/>
      <c r="F63" s="111"/>
      <c r="G63" s="111"/>
      <c r="H63" s="111"/>
      <c r="I63" s="111"/>
      <c r="J63" s="111"/>
      <c r="K63" s="111"/>
      <c r="L63" s="111"/>
      <c r="M63" s="111"/>
      <c r="N63" s="111"/>
      <c r="O63" s="111"/>
      <c r="P63" s="111"/>
      <c r="Q63" s="111"/>
      <c r="R63" s="111"/>
      <c r="S63" s="111"/>
      <c r="T63" s="111"/>
      <c r="U63" s="111"/>
      <c r="V63" s="111"/>
      <c r="W63" s="112"/>
      <c r="X63" s="52"/>
      <c r="Z63" s="54" t="s">
        <v>465</v>
      </c>
    </row>
    <row r="64" spans="1:28" hidden="1">
      <c r="A64" s="21"/>
      <c r="B64" s="18"/>
      <c r="C64" s="113"/>
      <c r="D64" s="114"/>
      <c r="E64" s="114"/>
      <c r="F64" s="114"/>
      <c r="G64" s="114"/>
      <c r="H64" s="114"/>
      <c r="I64" s="114"/>
      <c r="J64" s="114"/>
      <c r="K64" s="114"/>
      <c r="L64" s="114"/>
      <c r="M64" s="114"/>
      <c r="N64" s="114"/>
      <c r="O64" s="114"/>
      <c r="P64" s="114"/>
      <c r="Q64" s="114"/>
      <c r="R64" s="114"/>
      <c r="S64" s="114"/>
      <c r="T64" s="114"/>
      <c r="U64" s="114"/>
      <c r="V64" s="114"/>
      <c r="W64" s="115"/>
      <c r="X64" s="50"/>
      <c r="Y64" s="55"/>
    </row>
    <row r="65" spans="1:26" ht="15" hidden="1" customHeight="1">
      <c r="A65" s="21"/>
      <c r="B65" s="18"/>
      <c r="C65" s="107" t="s">
        <v>449</v>
      </c>
      <c r="D65" s="108"/>
      <c r="E65" s="108"/>
      <c r="F65" s="108"/>
      <c r="G65" s="108"/>
      <c r="H65" s="108"/>
      <c r="I65" s="108"/>
      <c r="J65" s="108"/>
      <c r="K65" s="108"/>
      <c r="L65" s="108"/>
      <c r="M65" s="108"/>
      <c r="N65" s="108"/>
      <c r="O65" s="108"/>
      <c r="P65" s="108"/>
      <c r="Q65" s="108"/>
      <c r="R65" s="108"/>
      <c r="S65" s="108"/>
      <c r="T65" s="108"/>
      <c r="U65" s="108"/>
      <c r="V65" s="108"/>
      <c r="W65" s="109"/>
      <c r="X65" s="52"/>
      <c r="Y65" s="18"/>
      <c r="Z65" s="53" t="s">
        <v>457</v>
      </c>
    </row>
    <row r="66" spans="1:26" hidden="1">
      <c r="A66" s="21"/>
      <c r="B66" s="91" t="str">
        <f>IF(OR(B70&lt;&gt;"",B79&lt;&gt;""),"",(IF(OR(F68&lt;&gt;"",K68&lt;&gt;"",P68&lt;&gt;"",T68&lt;&gt;""),"Х",IF(OR(F68&lt;&gt;"",K68&lt;&gt;"",P68&lt;&gt;"",T68&lt;&gt;""),"✔",IF(AB19&gt;2000,"Х","")))))</f>
        <v/>
      </c>
      <c r="C66" s="110"/>
      <c r="D66" s="111"/>
      <c r="E66" s="111"/>
      <c r="F66" s="111"/>
      <c r="G66" s="111"/>
      <c r="H66" s="111"/>
      <c r="I66" s="111"/>
      <c r="J66" s="111"/>
      <c r="K66" s="111"/>
      <c r="L66" s="111"/>
      <c r="M66" s="111"/>
      <c r="N66" s="111"/>
      <c r="O66" s="111"/>
      <c r="P66" s="111"/>
      <c r="Q66" s="111"/>
      <c r="R66" s="111"/>
      <c r="S66" s="111"/>
      <c r="T66" s="111"/>
      <c r="U66" s="111"/>
      <c r="V66" s="111"/>
      <c r="W66" s="112"/>
      <c r="X66" s="52"/>
      <c r="Y66" s="56"/>
      <c r="Z66" s="53" t="s">
        <v>458</v>
      </c>
    </row>
    <row r="67" spans="1:26" hidden="1">
      <c r="A67" s="21"/>
      <c r="B67" s="18"/>
      <c r="C67" s="113"/>
      <c r="D67" s="114"/>
      <c r="E67" s="114"/>
      <c r="F67" s="114"/>
      <c r="G67" s="114"/>
      <c r="H67" s="114"/>
      <c r="I67" s="114"/>
      <c r="J67" s="114"/>
      <c r="K67" s="114"/>
      <c r="L67" s="114"/>
      <c r="M67" s="114"/>
      <c r="N67" s="114"/>
      <c r="O67" s="114"/>
      <c r="P67" s="114"/>
      <c r="Q67" s="114"/>
      <c r="R67" s="114"/>
      <c r="S67" s="114"/>
      <c r="T67" s="114"/>
      <c r="U67" s="114"/>
      <c r="V67" s="114"/>
      <c r="W67" s="115"/>
      <c r="X67" s="50"/>
      <c r="Y67" s="56"/>
      <c r="Z67" s="53" t="s">
        <v>467</v>
      </c>
    </row>
    <row r="68" spans="1:26" ht="27.75" hidden="1" customHeight="1">
      <c r="A68" s="21"/>
      <c r="B68" s="18"/>
      <c r="C68" s="18"/>
      <c r="D68" s="18"/>
      <c r="E68" s="18"/>
      <c r="F68" s="57" t="str">
        <f>IF(OR(B70&lt;&gt;"",B79&lt;&gt;""),"",(IF(AJ36=TRUE,"✔",IF(OR(AJ35=TRUE,AJ37=TRUE,AK35=TRUE,AK36=TRUE,AK37=TRUE,AL35=TRUE,AL36=TRUE),"",IF(AB19&gt;5000,"Х","")))))</f>
        <v/>
      </c>
      <c r="G68" s="125" t="s">
        <v>413</v>
      </c>
      <c r="H68" s="126"/>
      <c r="I68" s="126"/>
      <c r="J68" s="127"/>
      <c r="K68" s="57" t="str">
        <f>IF(OR(B70&lt;&gt;"",B79&lt;&gt;""),"",(IF(AJ37=TRUE,"✔",IF(OR(AJ35=TRUE,AJ36=TRUE,AK35=TRUE,AK36=TRUE,AK37=TRUE,AL35=TRUE,AL36=TRUE),"",IF(AND(AB19&gt;2000,AB19&lt;5000,P68=""),"Х","")))))</f>
        <v/>
      </c>
      <c r="L68" s="125" t="s">
        <v>421</v>
      </c>
      <c r="M68" s="126"/>
      <c r="N68" s="126"/>
      <c r="O68" s="127"/>
      <c r="P68" s="57" t="str">
        <f>IF(OR(B70&lt;&gt;"",B79&lt;&gt;""),"",(IF(AK35=TRUE,"✔",IF(OR(AJ35=TRUE,AJ36=TRUE,AJ37=TRUE,AK36=TRUE,AK37=TRUE,AL35=TRUE,AL36=TRUE),"",IF(AND(AB19&gt;2000,M6="FALSE",B10="TRUE"),"Х","")))))</f>
        <v/>
      </c>
      <c r="Q68" s="122" t="s">
        <v>422</v>
      </c>
      <c r="R68" s="123"/>
      <c r="S68" s="124"/>
      <c r="T68" s="58" t="str">
        <f>IF(OR(B70&lt;&gt;"",B79&lt;&gt;""),"",IF(OR(AJ35=TRUE,AJ37=TRUE,AK35=TRUE,AJ36=TRUE,AK37=TRUE,AL35=TRUE,AL36=TRUE),"",(IF(AK36=TRUE,"✔",""))))</f>
        <v/>
      </c>
      <c r="U68" s="122" t="s">
        <v>420</v>
      </c>
      <c r="V68" s="123"/>
      <c r="W68" s="124"/>
      <c r="X68" s="50"/>
      <c r="Y68" s="18"/>
      <c r="Z68" s="53" t="s">
        <v>466</v>
      </c>
    </row>
    <row r="69" spans="1:26" ht="15" hidden="1" customHeight="1">
      <c r="A69" s="21"/>
      <c r="B69" s="18"/>
      <c r="C69" s="107" t="s">
        <v>414</v>
      </c>
      <c r="D69" s="108"/>
      <c r="E69" s="108"/>
      <c r="F69" s="108"/>
      <c r="G69" s="108"/>
      <c r="H69" s="108"/>
      <c r="I69" s="108"/>
      <c r="J69" s="108"/>
      <c r="K69" s="108"/>
      <c r="L69" s="108"/>
      <c r="M69" s="108"/>
      <c r="N69" s="108"/>
      <c r="O69" s="108"/>
      <c r="P69" s="108"/>
      <c r="Q69" s="108"/>
      <c r="R69" s="108"/>
      <c r="S69" s="108"/>
      <c r="T69" s="108"/>
      <c r="U69" s="108"/>
      <c r="V69" s="108"/>
      <c r="W69" s="109"/>
      <c r="X69" s="52"/>
      <c r="Y69" s="18"/>
      <c r="Z69" s="53" t="s">
        <v>461</v>
      </c>
    </row>
    <row r="70" spans="1:26" hidden="1">
      <c r="A70" s="21"/>
      <c r="B70" s="91" t="str">
        <f>IF(B79&lt;&gt;"","",(IF(AK37=TRUE,"✔",IF(OR(AJ35=TRUE,AJ37=TRUE,AK35=TRUE,AK36=TRUE,AJ36=TRUE,AL35=TRUE,AL36=TRUE),"",IF(OR(AND(M6=TRUE,U6&lt;&gt;"",H10=FALSE),AND(B6=TRUE,H6&lt;&gt;"",H10=FALSE)),"Х","")))))</f>
        <v/>
      </c>
      <c r="C70" s="110"/>
      <c r="D70" s="111"/>
      <c r="E70" s="111"/>
      <c r="F70" s="111"/>
      <c r="G70" s="111"/>
      <c r="H70" s="111"/>
      <c r="I70" s="111"/>
      <c r="J70" s="111"/>
      <c r="K70" s="111"/>
      <c r="L70" s="111"/>
      <c r="M70" s="111"/>
      <c r="N70" s="111"/>
      <c r="O70" s="111"/>
      <c r="P70" s="111"/>
      <c r="Q70" s="111"/>
      <c r="R70" s="111"/>
      <c r="S70" s="111"/>
      <c r="T70" s="111"/>
      <c r="U70" s="111"/>
      <c r="V70" s="111"/>
      <c r="W70" s="112"/>
      <c r="X70" s="52"/>
      <c r="Y70" s="56"/>
    </row>
    <row r="71" spans="1:26" hidden="1">
      <c r="A71" s="21"/>
      <c r="B71" s="18"/>
      <c r="C71" s="110"/>
      <c r="D71" s="111"/>
      <c r="E71" s="111"/>
      <c r="F71" s="111"/>
      <c r="G71" s="111"/>
      <c r="H71" s="111"/>
      <c r="I71" s="111"/>
      <c r="J71" s="111"/>
      <c r="K71" s="111"/>
      <c r="L71" s="111"/>
      <c r="M71" s="111"/>
      <c r="N71" s="111"/>
      <c r="O71" s="111"/>
      <c r="P71" s="111"/>
      <c r="Q71" s="111"/>
      <c r="R71" s="111"/>
      <c r="S71" s="111"/>
      <c r="T71" s="111"/>
      <c r="U71" s="111"/>
      <c r="V71" s="111"/>
      <c r="W71" s="112"/>
      <c r="X71" s="52"/>
      <c r="Y71" s="56"/>
      <c r="Z71" s="53" t="s">
        <v>468</v>
      </c>
    </row>
    <row r="72" spans="1:26" hidden="1">
      <c r="A72" s="21"/>
      <c r="B72" s="141"/>
      <c r="C72" s="142"/>
      <c r="D72" s="142"/>
      <c r="E72" s="142"/>
      <c r="F72" s="142"/>
      <c r="G72" s="142"/>
      <c r="H72" s="142"/>
      <c r="I72" s="142"/>
      <c r="J72" s="142"/>
      <c r="K72" s="142"/>
      <c r="L72" s="142"/>
      <c r="M72" s="142"/>
      <c r="N72" s="142"/>
      <c r="O72" s="142"/>
      <c r="P72" s="142"/>
      <c r="Q72" s="142"/>
      <c r="R72" s="142"/>
      <c r="S72" s="142"/>
      <c r="T72" s="142"/>
      <c r="U72" s="142"/>
      <c r="V72" s="142"/>
      <c r="W72" s="143"/>
      <c r="X72" s="59"/>
      <c r="Y72" s="56"/>
      <c r="Z72" s="54" t="s">
        <v>469</v>
      </c>
    </row>
    <row r="73" spans="1:26" ht="27" hidden="1" customHeight="1">
      <c r="A73" s="21"/>
      <c r="B73" s="18"/>
      <c r="C73" s="110" t="s">
        <v>415</v>
      </c>
      <c r="D73" s="111"/>
      <c r="E73" s="111"/>
      <c r="F73" s="111"/>
      <c r="G73" s="111"/>
      <c r="H73" s="111"/>
      <c r="I73" s="111"/>
      <c r="J73" s="111"/>
      <c r="K73" s="111"/>
      <c r="L73" s="111"/>
      <c r="M73" s="111"/>
      <c r="N73" s="111"/>
      <c r="O73" s="111"/>
      <c r="P73" s="111"/>
      <c r="Q73" s="111"/>
      <c r="R73" s="111"/>
      <c r="S73" s="111"/>
      <c r="T73" s="111"/>
      <c r="U73" s="111"/>
      <c r="V73" s="111"/>
      <c r="W73" s="112"/>
      <c r="X73" s="52"/>
      <c r="Z73" s="53" t="s">
        <v>460</v>
      </c>
    </row>
    <row r="74" spans="1:26" ht="12.75" hidden="1" customHeight="1">
      <c r="A74" s="21"/>
      <c r="B74" s="91" t="str">
        <f>IF(B79&lt;&gt;"","",(IF(AL35=TRUE,"✔",IF(OR(AJ35=TRUE,AJ37=TRUE,AK35=TRUE,AK36=TRUE,AK37=TRUE,AJ36=TRUE,AL36=TRUE),"",IF(OR(AND(D4&lt;&gt;"",B63="",B66="",F68="",K68="",P68="",T68="",B70="",B77="",B79=""),AND(S5="ETJ",H10=FALSE,B70="")),"Х","")))))</f>
        <v/>
      </c>
      <c r="C74" s="110"/>
      <c r="D74" s="111"/>
      <c r="E74" s="111"/>
      <c r="F74" s="111"/>
      <c r="G74" s="111"/>
      <c r="H74" s="111"/>
      <c r="I74" s="111"/>
      <c r="J74" s="111"/>
      <c r="K74" s="111"/>
      <c r="L74" s="111"/>
      <c r="M74" s="111"/>
      <c r="N74" s="111"/>
      <c r="O74" s="111"/>
      <c r="P74" s="111"/>
      <c r="Q74" s="111"/>
      <c r="R74" s="111"/>
      <c r="S74" s="111"/>
      <c r="T74" s="111"/>
      <c r="U74" s="111"/>
      <c r="V74" s="111"/>
      <c r="W74" s="112"/>
      <c r="X74" s="52"/>
      <c r="Y74" s="56"/>
    </row>
    <row r="75" spans="1:26" ht="12.75" hidden="1" customHeight="1">
      <c r="A75" s="21"/>
      <c r="B75" s="18"/>
      <c r="C75" s="113"/>
      <c r="D75" s="114"/>
      <c r="E75" s="114"/>
      <c r="F75" s="114"/>
      <c r="G75" s="114"/>
      <c r="H75" s="114"/>
      <c r="I75" s="114"/>
      <c r="J75" s="114"/>
      <c r="K75" s="114"/>
      <c r="L75" s="114"/>
      <c r="M75" s="114"/>
      <c r="N75" s="114"/>
      <c r="O75" s="114"/>
      <c r="P75" s="114"/>
      <c r="Q75" s="114"/>
      <c r="R75" s="114"/>
      <c r="S75" s="114"/>
      <c r="T75" s="114"/>
      <c r="U75" s="114"/>
      <c r="V75" s="114"/>
      <c r="W75" s="115"/>
      <c r="X75" s="50"/>
      <c r="Y75" s="56"/>
      <c r="Z75" s="18"/>
    </row>
    <row r="76" spans="1:26" ht="15" hidden="1" customHeight="1">
      <c r="A76" s="21"/>
      <c r="B76" s="18"/>
      <c r="C76" s="107" t="s">
        <v>450</v>
      </c>
      <c r="D76" s="108"/>
      <c r="E76" s="108"/>
      <c r="F76" s="108"/>
      <c r="G76" s="108"/>
      <c r="H76" s="108"/>
      <c r="I76" s="108"/>
      <c r="J76" s="108"/>
      <c r="K76" s="108"/>
      <c r="L76" s="108"/>
      <c r="M76" s="108"/>
      <c r="N76" s="108"/>
      <c r="O76" s="108"/>
      <c r="P76" s="108"/>
      <c r="Q76" s="108"/>
      <c r="R76" s="108"/>
      <c r="S76" s="108"/>
      <c r="T76" s="108"/>
      <c r="U76" s="108"/>
      <c r="V76" s="108"/>
      <c r="W76" s="109"/>
      <c r="X76" s="52"/>
      <c r="Y76" s="18"/>
      <c r="Z76" s="53" t="s">
        <v>459</v>
      </c>
    </row>
    <row r="77" spans="1:26" ht="12.75" hidden="1" customHeight="1">
      <c r="A77" s="21"/>
      <c r="B77" s="91" t="str">
        <f>IF(AL36=TRUE,"✔","")</f>
        <v/>
      </c>
      <c r="C77" s="110"/>
      <c r="D77" s="111"/>
      <c r="E77" s="111"/>
      <c r="F77" s="111"/>
      <c r="G77" s="111"/>
      <c r="H77" s="111"/>
      <c r="I77" s="111"/>
      <c r="J77" s="111"/>
      <c r="K77" s="111"/>
      <c r="L77" s="111"/>
      <c r="M77" s="111"/>
      <c r="N77" s="111"/>
      <c r="O77" s="111"/>
      <c r="P77" s="111"/>
      <c r="Q77" s="111"/>
      <c r="R77" s="111"/>
      <c r="S77" s="111"/>
      <c r="T77" s="111"/>
      <c r="U77" s="111"/>
      <c r="V77" s="111"/>
      <c r="W77" s="112"/>
      <c r="X77" s="52"/>
      <c r="Y77" s="56"/>
      <c r="Z77" s="18"/>
    </row>
    <row r="78" spans="1:26" ht="12.75" hidden="1" customHeight="1">
      <c r="A78" s="21"/>
      <c r="B78" s="18"/>
      <c r="C78" s="113"/>
      <c r="D78" s="114"/>
      <c r="E78" s="114"/>
      <c r="F78" s="114"/>
      <c r="G78" s="114"/>
      <c r="H78" s="114"/>
      <c r="I78" s="114"/>
      <c r="J78" s="114"/>
      <c r="K78" s="114"/>
      <c r="L78" s="114"/>
      <c r="M78" s="114"/>
      <c r="N78" s="114"/>
      <c r="O78" s="114"/>
      <c r="P78" s="114"/>
      <c r="Q78" s="114"/>
      <c r="R78" s="114"/>
      <c r="S78" s="114"/>
      <c r="T78" s="114"/>
      <c r="U78" s="114"/>
      <c r="V78" s="114"/>
      <c r="W78" s="115"/>
      <c r="X78" s="50"/>
      <c r="Y78" s="56"/>
      <c r="Z78" s="18"/>
    </row>
    <row r="79" spans="1:26" ht="15" hidden="1" customHeight="1">
      <c r="A79" s="21"/>
      <c r="B79" s="60" t="str">
        <f>IF(AJ13=TRUE,"✔","")</f>
        <v/>
      </c>
      <c r="C79" s="138" t="s">
        <v>416</v>
      </c>
      <c r="D79" s="139"/>
      <c r="E79" s="139"/>
      <c r="F79" s="139"/>
      <c r="G79" s="139"/>
      <c r="H79" s="139"/>
      <c r="I79" s="139"/>
      <c r="J79" s="139"/>
      <c r="K79" s="139"/>
      <c r="L79" s="139"/>
      <c r="M79" s="139"/>
      <c r="N79" s="139"/>
      <c r="O79" s="139"/>
      <c r="P79" s="139"/>
      <c r="Q79" s="139"/>
      <c r="R79" s="139"/>
      <c r="S79" s="139"/>
      <c r="T79" s="139"/>
      <c r="U79" s="139"/>
      <c r="V79" s="139"/>
      <c r="W79" s="140"/>
      <c r="X79" s="50"/>
      <c r="Y79" s="18"/>
      <c r="Z79" s="18" t="s">
        <v>462</v>
      </c>
    </row>
    <row r="80" spans="1:26" hidden="1">
      <c r="A80" s="21"/>
      <c r="B80" s="141"/>
      <c r="C80" s="142"/>
      <c r="D80" s="142"/>
      <c r="E80" s="142"/>
      <c r="F80" s="142"/>
      <c r="G80" s="142"/>
      <c r="H80" s="142"/>
      <c r="I80" s="142"/>
      <c r="J80" s="142"/>
      <c r="K80" s="142"/>
      <c r="L80" s="142"/>
      <c r="M80" s="142"/>
      <c r="N80" s="142"/>
      <c r="O80" s="142"/>
      <c r="P80" s="142"/>
      <c r="Q80" s="142"/>
      <c r="R80" s="142"/>
      <c r="S80" s="142"/>
      <c r="T80" s="142"/>
      <c r="U80" s="142"/>
      <c r="V80" s="142"/>
      <c r="W80" s="143"/>
      <c r="X80" s="50"/>
      <c r="Y80" s="18"/>
      <c r="Z80" s="18"/>
    </row>
    <row r="81" spans="1:26" ht="27" hidden="1" customHeight="1">
      <c r="A81" s="21"/>
      <c r="B81" s="18"/>
      <c r="C81" s="18"/>
      <c r="D81" s="18"/>
      <c r="E81" s="18"/>
      <c r="F81" s="18"/>
      <c r="G81" s="18"/>
      <c r="H81" s="18"/>
      <c r="I81" s="18"/>
      <c r="J81" s="18"/>
      <c r="K81" s="18"/>
      <c r="L81" s="18"/>
      <c r="M81" s="18"/>
      <c r="N81" s="18"/>
      <c r="O81" s="61"/>
      <c r="P81" s="18"/>
      <c r="Q81" s="18"/>
      <c r="R81" s="18"/>
      <c r="S81" s="18"/>
      <c r="T81" s="18"/>
      <c r="U81" s="18"/>
      <c r="V81" s="18"/>
      <c r="W81" s="18"/>
      <c r="X81" s="50"/>
      <c r="Y81" s="18"/>
      <c r="Z81" s="18"/>
    </row>
    <row r="82" spans="1:26" ht="15" hidden="1" customHeight="1">
      <c r="A82" s="21"/>
      <c r="B82" s="18" t="s">
        <v>411</v>
      </c>
      <c r="C82" s="18"/>
      <c r="D82" s="149"/>
      <c r="E82" s="149"/>
      <c r="F82" s="149"/>
      <c r="G82" s="149"/>
      <c r="H82" s="149"/>
      <c r="I82" s="149"/>
      <c r="J82" s="149"/>
      <c r="K82" s="149"/>
      <c r="L82" s="149"/>
      <c r="M82" s="149"/>
      <c r="N82" s="18" t="s">
        <v>12</v>
      </c>
      <c r="O82" s="150"/>
      <c r="P82" s="150"/>
      <c r="Q82" s="150"/>
      <c r="R82" s="150"/>
      <c r="S82" s="150"/>
      <c r="T82" s="150"/>
      <c r="U82" s="150"/>
      <c r="V82" s="150"/>
      <c r="W82" s="150"/>
      <c r="X82" s="59"/>
      <c r="Y82" s="18"/>
      <c r="Z82" s="18"/>
    </row>
    <row r="83" spans="1:26" ht="15" hidden="1" customHeight="1">
      <c r="A83" s="21"/>
      <c r="B83" s="18"/>
      <c r="C83" s="18"/>
      <c r="D83" s="18"/>
      <c r="E83" s="18"/>
      <c r="F83" s="18"/>
      <c r="G83" s="18"/>
      <c r="H83" s="18"/>
      <c r="I83" s="18"/>
      <c r="J83" s="18"/>
      <c r="K83" s="18"/>
      <c r="L83" s="18"/>
      <c r="M83" s="18"/>
      <c r="N83" s="18"/>
      <c r="O83" s="18"/>
      <c r="P83" s="18"/>
      <c r="Q83" s="18"/>
      <c r="R83" s="18"/>
      <c r="S83" s="18"/>
      <c r="T83" s="18"/>
      <c r="U83" s="18"/>
      <c r="V83" s="18"/>
      <c r="W83" s="18"/>
      <c r="X83" s="50"/>
      <c r="Y83" s="62"/>
      <c r="Z83" s="18"/>
    </row>
    <row r="84" spans="1:26" ht="24.75" hidden="1" customHeight="1">
      <c r="A84" s="21"/>
      <c r="B84" s="137" t="s">
        <v>13</v>
      </c>
      <c r="C84" s="137"/>
      <c r="D84" s="137"/>
      <c r="E84" s="137"/>
      <c r="F84" s="137"/>
      <c r="G84" s="137"/>
      <c r="H84" s="137"/>
      <c r="I84" s="137"/>
      <c r="J84" s="137"/>
      <c r="K84" s="137"/>
      <c r="L84" s="137"/>
      <c r="M84" s="137"/>
      <c r="N84" s="137"/>
      <c r="O84" s="137"/>
      <c r="P84" s="137"/>
      <c r="Q84" s="137"/>
      <c r="R84" s="137"/>
      <c r="S84" s="137"/>
      <c r="T84" s="137"/>
      <c r="U84" s="137"/>
      <c r="V84" s="137"/>
      <c r="W84" s="137"/>
      <c r="X84" s="63"/>
      <c r="Y84" s="18"/>
      <c r="Z84" s="18"/>
    </row>
    <row r="85" spans="1:26" ht="48.75" hidden="1" customHeight="1" thickBot="1">
      <c r="A85" s="64"/>
      <c r="B85" s="148" t="s">
        <v>410</v>
      </c>
      <c r="C85" s="148"/>
      <c r="D85" s="148"/>
      <c r="E85" s="148"/>
      <c r="F85" s="148"/>
      <c r="G85" s="148"/>
      <c r="H85" s="148"/>
      <c r="I85" s="148"/>
      <c r="J85" s="148"/>
      <c r="K85" s="148"/>
      <c r="L85" s="148"/>
      <c r="M85" s="148"/>
      <c r="N85" s="148"/>
      <c r="O85" s="148"/>
      <c r="P85" s="148"/>
      <c r="Q85" s="148"/>
      <c r="R85" s="148"/>
      <c r="S85" s="148"/>
      <c r="T85" s="148"/>
      <c r="U85" s="148"/>
      <c r="V85" s="148"/>
      <c r="W85" s="148"/>
      <c r="X85" s="65"/>
      <c r="Y85" s="66"/>
      <c r="Z85" s="18"/>
    </row>
    <row r="86" spans="1:26" ht="4.5" hidden="1" customHeight="1" thickBot="1">
      <c r="A86" s="64"/>
      <c r="B86" s="46"/>
      <c r="C86" s="46"/>
      <c r="D86" s="46"/>
      <c r="E86" s="46"/>
      <c r="F86" s="46"/>
      <c r="G86" s="46"/>
      <c r="H86" s="46"/>
      <c r="I86" s="46"/>
      <c r="J86" s="46"/>
      <c r="K86" s="46"/>
      <c r="L86" s="46"/>
      <c r="M86" s="46"/>
      <c r="N86" s="46"/>
      <c r="O86" s="46"/>
      <c r="P86" s="46"/>
      <c r="Q86" s="46"/>
      <c r="R86" s="46"/>
      <c r="S86" s="46"/>
      <c r="T86" s="46"/>
      <c r="U86" s="46"/>
      <c r="V86" s="46"/>
      <c r="W86" s="46"/>
      <c r="X86" s="48"/>
      <c r="Y86" s="90"/>
      <c r="Z86" s="18"/>
    </row>
  </sheetData>
  <sheetProtection algorithmName="SHA-512" hashValue="3v5uNrn6hRrP7v7rHQgsz3kuFqSA4cPzsd+Lsx6rIAqCMYDmPZXQqo/0vpcSAwkBezBRi0LWu9zF5hYG47mSTQ==" saltValue="g6TLdnPfZmr91J2b55svqA==" spinCount="100000" sheet="1" objects="1" scenarios="1"/>
  <protectedRanges>
    <protectedRange sqref="H6 D4:M5 J6 G7:H7 L7:O7 B30:R32 T30:T32 V30:V32 B48:R50 T48:T50 V48:V50 S5:U5 U6:W6 B18:N27 B36:N45 B54:W57 I15:O15 Q18:R27 Q36:R45" name="publiceditable"/>
  </protectedRanges>
  <mergeCells count="239">
    <mergeCell ref="I15:W15"/>
    <mergeCell ref="V52:W52"/>
    <mergeCell ref="B7:E7"/>
    <mergeCell ref="F7:I7"/>
    <mergeCell ref="D5:M5"/>
    <mergeCell ref="I22:N22"/>
    <mergeCell ref="D32:E32"/>
    <mergeCell ref="F30:H30"/>
    <mergeCell ref="I30:N30"/>
    <mergeCell ref="F31:H31"/>
    <mergeCell ref="F32:H32"/>
    <mergeCell ref="I31:N31"/>
    <mergeCell ref="I32:N32"/>
    <mergeCell ref="I18:N18"/>
    <mergeCell ref="I21:N21"/>
    <mergeCell ref="B12:W12"/>
    <mergeCell ref="I17:N17"/>
    <mergeCell ref="I19:N19"/>
    <mergeCell ref="I20:N20"/>
    <mergeCell ref="C6:E6"/>
    <mergeCell ref="N6:P6"/>
    <mergeCell ref="S5:W5"/>
    <mergeCell ref="U6:W6"/>
    <mergeCell ref="F23:H23"/>
    <mergeCell ref="V23:W23"/>
    <mergeCell ref="B85:W85"/>
    <mergeCell ref="B80:W80"/>
    <mergeCell ref="I29:N29"/>
    <mergeCell ref="O29:Q29"/>
    <mergeCell ref="T29:U29"/>
    <mergeCell ref="V29:W29"/>
    <mergeCell ref="D17:E17"/>
    <mergeCell ref="D18:E18"/>
    <mergeCell ref="F17:H17"/>
    <mergeCell ref="F18:H18"/>
    <mergeCell ref="V30:W30"/>
    <mergeCell ref="V31:W31"/>
    <mergeCell ref="V32:W32"/>
    <mergeCell ref="D48:E48"/>
    <mergeCell ref="F48:H48"/>
    <mergeCell ref="I48:N48"/>
    <mergeCell ref="D82:M82"/>
    <mergeCell ref="O82:W82"/>
    <mergeCell ref="D47:E47"/>
    <mergeCell ref="I36:N36"/>
    <mergeCell ref="O35:Q35"/>
    <mergeCell ref="T35:U35"/>
    <mergeCell ref="B51:W51"/>
    <mergeCell ref="T57:W57"/>
    <mergeCell ref="B72:W72"/>
    <mergeCell ref="D4:M4"/>
    <mergeCell ref="B4:C4"/>
    <mergeCell ref="B5:C5"/>
    <mergeCell ref="D40:E40"/>
    <mergeCell ref="O18:Q18"/>
    <mergeCell ref="O17:Q17"/>
    <mergeCell ref="O19:Q19"/>
    <mergeCell ref="B33:W33"/>
    <mergeCell ref="O30:Q30"/>
    <mergeCell ref="O31:Q31"/>
    <mergeCell ref="O32:Q32"/>
    <mergeCell ref="T30:U30"/>
    <mergeCell ref="T31:U31"/>
    <mergeCell ref="T32:U32"/>
    <mergeCell ref="D30:E30"/>
    <mergeCell ref="D31:E31"/>
    <mergeCell ref="D39:E39"/>
    <mergeCell ref="F39:H39"/>
    <mergeCell ref="I39:N39"/>
    <mergeCell ref="O39:Q39"/>
    <mergeCell ref="D38:E38"/>
    <mergeCell ref="F35:H35"/>
    <mergeCell ref="I35:N35"/>
    <mergeCell ref="F36:H36"/>
    <mergeCell ref="B84:W84"/>
    <mergeCell ref="H6:K6"/>
    <mergeCell ref="C69:W71"/>
    <mergeCell ref="C73:W75"/>
    <mergeCell ref="C76:W78"/>
    <mergeCell ref="C79:W79"/>
    <mergeCell ref="T54:W54"/>
    <mergeCell ref="T55:W55"/>
    <mergeCell ref="T56:W56"/>
    <mergeCell ref="D19:E19"/>
    <mergeCell ref="D20:E20"/>
    <mergeCell ref="D21:E21"/>
    <mergeCell ref="D22:E22"/>
    <mergeCell ref="F19:H19"/>
    <mergeCell ref="F20:H20"/>
    <mergeCell ref="F21:H21"/>
    <mergeCell ref="F22:H22"/>
    <mergeCell ref="V22:W22"/>
    <mergeCell ref="D29:E29"/>
    <mergeCell ref="F29:H29"/>
    <mergeCell ref="V47:W47"/>
    <mergeCell ref="D35:E35"/>
    <mergeCell ref="V48:W48"/>
    <mergeCell ref="AE28:AF28"/>
    <mergeCell ref="V17:W17"/>
    <mergeCell ref="V18:W18"/>
    <mergeCell ref="V19:W19"/>
    <mergeCell ref="V20:W20"/>
    <mergeCell ref="V21:W21"/>
    <mergeCell ref="O20:Q20"/>
    <mergeCell ref="O21:Q21"/>
    <mergeCell ref="O22:Q22"/>
    <mergeCell ref="T17:U17"/>
    <mergeCell ref="T18:U18"/>
    <mergeCell ref="T19:U19"/>
    <mergeCell ref="T20:U20"/>
    <mergeCell ref="T21:U21"/>
    <mergeCell ref="T22:U22"/>
    <mergeCell ref="O23:Q23"/>
    <mergeCell ref="O24:Q24"/>
    <mergeCell ref="O25:Q25"/>
    <mergeCell ref="O26:Q26"/>
    <mergeCell ref="O27:Q27"/>
    <mergeCell ref="T23:U23"/>
    <mergeCell ref="T24:U24"/>
    <mergeCell ref="T25:U25"/>
    <mergeCell ref="T27:U27"/>
    <mergeCell ref="AD2:AH2"/>
    <mergeCell ref="B2:S2"/>
    <mergeCell ref="AD35:AD39"/>
    <mergeCell ref="D36:E36"/>
    <mergeCell ref="D50:E50"/>
    <mergeCell ref="F50:H50"/>
    <mergeCell ref="I50:N50"/>
    <mergeCell ref="O50:Q50"/>
    <mergeCell ref="T50:U50"/>
    <mergeCell ref="V50:W50"/>
    <mergeCell ref="D49:E49"/>
    <mergeCell ref="F49:H49"/>
    <mergeCell ref="I49:N49"/>
    <mergeCell ref="O49:Q49"/>
    <mergeCell ref="T49:U49"/>
    <mergeCell ref="D37:E37"/>
    <mergeCell ref="F37:H37"/>
    <mergeCell ref="F38:H38"/>
    <mergeCell ref="I38:N38"/>
    <mergeCell ref="O38:Q38"/>
    <mergeCell ref="T38:U38"/>
    <mergeCell ref="F40:H40"/>
    <mergeCell ref="I40:N40"/>
    <mergeCell ref="Q6:T6"/>
    <mergeCell ref="O40:Q40"/>
    <mergeCell ref="U68:W68"/>
    <mergeCell ref="Q68:S68"/>
    <mergeCell ref="L68:O68"/>
    <mergeCell ref="G68:J68"/>
    <mergeCell ref="T53:W53"/>
    <mergeCell ref="B53:J53"/>
    <mergeCell ref="B54:J54"/>
    <mergeCell ref="B55:J55"/>
    <mergeCell ref="B56:J56"/>
    <mergeCell ref="K54:N54"/>
    <mergeCell ref="K53:N53"/>
    <mergeCell ref="K55:N55"/>
    <mergeCell ref="K56:N56"/>
    <mergeCell ref="O54:S54"/>
    <mergeCell ref="O55:S55"/>
    <mergeCell ref="O56:S56"/>
    <mergeCell ref="O53:S53"/>
    <mergeCell ref="B57:J57"/>
    <mergeCell ref="K57:N57"/>
    <mergeCell ref="O57:S57"/>
    <mergeCell ref="D41:E41"/>
    <mergeCell ref="D42:E42"/>
    <mergeCell ref="D43:E43"/>
    <mergeCell ref="I37:N37"/>
    <mergeCell ref="U7:W7"/>
    <mergeCell ref="L7:R7"/>
    <mergeCell ref="O37:Q37"/>
    <mergeCell ref="T37:U37"/>
    <mergeCell ref="V37:W37"/>
    <mergeCell ref="C62:W64"/>
    <mergeCell ref="C65:W67"/>
    <mergeCell ref="F47:H47"/>
    <mergeCell ref="I47:N47"/>
    <mergeCell ref="O47:Q47"/>
    <mergeCell ref="T47:U47"/>
    <mergeCell ref="T39:U39"/>
    <mergeCell ref="V39:W39"/>
    <mergeCell ref="T40:U40"/>
    <mergeCell ref="V38:W38"/>
    <mergeCell ref="V35:W35"/>
    <mergeCell ref="V36:W36"/>
    <mergeCell ref="V49:W49"/>
    <mergeCell ref="O36:Q36"/>
    <mergeCell ref="T36:U36"/>
    <mergeCell ref="V40:W40"/>
    <mergeCell ref="O48:Q48"/>
    <mergeCell ref="T48:U48"/>
    <mergeCell ref="V24:W24"/>
    <mergeCell ref="V25:W25"/>
    <mergeCell ref="V26:W26"/>
    <mergeCell ref="V27:W27"/>
    <mergeCell ref="D23:E23"/>
    <mergeCell ref="D24:E24"/>
    <mergeCell ref="D25:E25"/>
    <mergeCell ref="D26:E26"/>
    <mergeCell ref="D27:E27"/>
    <mergeCell ref="I23:N23"/>
    <mergeCell ref="I24:N24"/>
    <mergeCell ref="I25:N25"/>
    <mergeCell ref="I26:N26"/>
    <mergeCell ref="I27:N27"/>
    <mergeCell ref="F24:H24"/>
    <mergeCell ref="F25:H25"/>
    <mergeCell ref="F26:H26"/>
    <mergeCell ref="F27:H27"/>
    <mergeCell ref="T26:U26"/>
    <mergeCell ref="D44:E44"/>
    <mergeCell ref="D45:E45"/>
    <mergeCell ref="O41:Q41"/>
    <mergeCell ref="O42:Q42"/>
    <mergeCell ref="O43:Q43"/>
    <mergeCell ref="O44:Q44"/>
    <mergeCell ref="O45:Q45"/>
    <mergeCell ref="I41:N41"/>
    <mergeCell ref="I42:N42"/>
    <mergeCell ref="I43:N43"/>
    <mergeCell ref="I44:N44"/>
    <mergeCell ref="I45:N45"/>
    <mergeCell ref="F41:H41"/>
    <mergeCell ref="F42:H42"/>
    <mergeCell ref="F43:H43"/>
    <mergeCell ref="F44:H44"/>
    <mergeCell ref="F45:H45"/>
    <mergeCell ref="T41:U41"/>
    <mergeCell ref="T42:U42"/>
    <mergeCell ref="T43:U43"/>
    <mergeCell ref="T44:U44"/>
    <mergeCell ref="T45:U45"/>
    <mergeCell ref="V41:W41"/>
    <mergeCell ref="V42:W42"/>
    <mergeCell ref="V43:W43"/>
    <mergeCell ref="V44:W44"/>
    <mergeCell ref="V45:W45"/>
  </mergeCells>
  <dataValidations count="3">
    <dataValidation type="decimal" operator="notEqual" allowBlank="1" showInputMessage="1" showErrorMessage="1" sqref="R30:R32 R48:R50 R18:R27 R36:R45 V48:V50 V30:V32" xr:uid="{BB986F29-D935-4F81-A4DC-D2D0149EB9A9}">
      <formula1>0</formula1>
    </dataValidation>
    <dataValidation type="list" allowBlank="1" showInputMessage="1" showErrorMessage="1" sqref="I36:N36 I37:I45 I18:I27" xr:uid="{3FD709CD-FDB0-42CC-9465-C4E8FF023019}">
      <formula1>INDIRECT(F18)</formula1>
    </dataValidation>
    <dataValidation operator="notEqual" allowBlank="1" showInputMessage="1" showErrorMessage="1" sqref="T30:U32 T48:U50" xr:uid="{AA14D440-58E3-4A05-A487-1648C9CAACC8}"/>
  </dataValidations>
  <hyperlinks>
    <hyperlink ref="B84" r:id="rId1" location="customer-portal/" xr:uid="{DAD24643-C5C1-4599-B274-2DEC7E456322}"/>
    <hyperlink ref="B12:W12" r:id="rId2" display="By checking the box below, the applicant acknowledges that City Council has adopted a Street Impact Fee (SIF) program effective December 21, 2020, and that street impact fees will be assessed for any building permit pulled on or after June 21, 2022. For more information on the Street Impact Fee program, please visit www.austintexas.gov/department/street-impact-fee" xr:uid="{35A08099-CB93-45C0-8F71-E9324A6C1871}"/>
    <hyperlink ref="S3" r:id="rId3" xr:uid="{CA9F0AB1-72C0-484C-B537-4211AD302E3E}"/>
    <hyperlink ref="B2:S2" r:id="rId4" location="services/traffic-impact-analysis-determination/" display="Applicant must complete this worksheet except where noted for TPW Staff. Please submit completed worksheet to the TIA Determination Worksheet portal (https://atd.knack.com/development-services#services/traffic-impact-analysis-determination/) for review and signature. " xr:uid="{23492558-120A-440B-8CA5-E310CE095C3C}"/>
  </hyperlinks>
  <pageMargins left="0.25" right="0.25"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35" r:id="rId8" name="ChckBx_RestrictiveZoning">
              <controlPr defaultSize="0" autoFill="0" autoLine="0" autoPict="0">
                <anchor moveWithCells="1" sizeWithCells="1">
                  <from>
                    <xdr:col>33</xdr:col>
                    <xdr:colOff>266700</xdr:colOff>
                    <xdr:row>17</xdr:row>
                    <xdr:rowOff>45720</xdr:rowOff>
                  </from>
                  <to>
                    <xdr:col>34</xdr:col>
                    <xdr:colOff>45720</xdr:colOff>
                    <xdr:row>19</xdr:row>
                    <xdr:rowOff>7620</xdr:rowOff>
                  </to>
                </anchor>
              </controlPr>
            </control>
          </mc:Choice>
        </mc:AlternateContent>
        <mc:AlternateContent xmlns:mc="http://schemas.openxmlformats.org/markup-compatibility/2006">
          <mc:Choice Requires="x14">
            <control shapeId="1064" r:id="rId9" name="Check Box 40">
              <controlPr defaultSize="0" autoFill="0" autoLine="0" autoPict="0">
                <anchor moveWithCells="1" sizeWithCells="1">
                  <from>
                    <xdr:col>29</xdr:col>
                    <xdr:colOff>22860</xdr:colOff>
                    <xdr:row>19</xdr:row>
                    <xdr:rowOff>60960</xdr:rowOff>
                  </from>
                  <to>
                    <xdr:col>34</xdr:col>
                    <xdr:colOff>289560</xdr:colOff>
                    <xdr:row>20</xdr:row>
                    <xdr:rowOff>251460</xdr:rowOff>
                  </to>
                </anchor>
              </controlPr>
            </control>
          </mc:Choice>
        </mc:AlternateContent>
        <mc:AlternateContent xmlns:mc="http://schemas.openxmlformats.org/markup-compatibility/2006">
          <mc:Choice Requires="x14">
            <control shapeId="1068" r:id="rId10" name="Check Box 44">
              <controlPr defaultSize="0" autoFill="0" autoLine="0" autoPict="0">
                <anchor moveWithCells="1" sizeWithCells="1">
                  <from>
                    <xdr:col>29</xdr:col>
                    <xdr:colOff>7620</xdr:colOff>
                    <xdr:row>6</xdr:row>
                    <xdr:rowOff>60960</xdr:rowOff>
                  </from>
                  <to>
                    <xdr:col>34</xdr:col>
                    <xdr:colOff>365760</xdr:colOff>
                    <xdr:row>9</xdr:row>
                    <xdr:rowOff>144780</xdr:rowOff>
                  </to>
                </anchor>
              </controlPr>
            </control>
          </mc:Choice>
        </mc:AlternateContent>
        <mc:AlternateContent xmlns:mc="http://schemas.openxmlformats.org/markup-compatibility/2006">
          <mc:Choice Requires="x14">
            <control shapeId="1069" r:id="rId11" name="Check Box 45">
              <controlPr defaultSize="0" autoFill="0" autoLine="0" autoPict="0">
                <anchor moveWithCells="1" sizeWithCells="1">
                  <from>
                    <xdr:col>29</xdr:col>
                    <xdr:colOff>7620</xdr:colOff>
                    <xdr:row>10</xdr:row>
                    <xdr:rowOff>38100</xdr:rowOff>
                  </from>
                  <to>
                    <xdr:col>34</xdr:col>
                    <xdr:colOff>342900</xdr:colOff>
                    <xdr:row>12</xdr:row>
                    <xdr:rowOff>175260</xdr:rowOff>
                  </to>
                </anchor>
              </controlPr>
            </control>
          </mc:Choice>
        </mc:AlternateContent>
        <mc:AlternateContent xmlns:mc="http://schemas.openxmlformats.org/markup-compatibility/2006">
          <mc:Choice Requires="x14">
            <control shapeId="1070" r:id="rId12" name="Check Box 46">
              <controlPr defaultSize="0" autoFill="0" autoLine="0" autoPict="0">
                <anchor moveWithCells="1" sizeWithCells="1">
                  <from>
                    <xdr:col>29</xdr:col>
                    <xdr:colOff>22860</xdr:colOff>
                    <xdr:row>12</xdr:row>
                    <xdr:rowOff>220980</xdr:rowOff>
                  </from>
                  <to>
                    <xdr:col>34</xdr:col>
                    <xdr:colOff>335280</xdr:colOff>
                    <xdr:row>17</xdr:row>
                    <xdr:rowOff>0</xdr:rowOff>
                  </to>
                </anchor>
              </controlPr>
            </control>
          </mc:Choice>
        </mc:AlternateContent>
        <mc:AlternateContent xmlns:mc="http://schemas.openxmlformats.org/markup-compatibility/2006">
          <mc:Choice Requires="x14">
            <control shapeId="1071" r:id="rId13" name="Button 47">
              <controlPr defaultSize="0" print="0" autoFill="0" autoPict="0" macro="[0]!UpdateAccess">
                <anchor moveWithCells="1" sizeWithCells="1">
                  <from>
                    <xdr:col>21</xdr:col>
                    <xdr:colOff>38100</xdr:colOff>
                    <xdr:row>0</xdr:row>
                    <xdr:rowOff>45720</xdr:rowOff>
                  </from>
                  <to>
                    <xdr:col>23</xdr:col>
                    <xdr:colOff>22860</xdr:colOff>
                    <xdr:row>0</xdr:row>
                    <xdr:rowOff>198120</xdr:rowOff>
                  </to>
                </anchor>
              </controlPr>
            </control>
          </mc:Choice>
        </mc:AlternateContent>
        <mc:AlternateContent xmlns:mc="http://schemas.openxmlformats.org/markup-compatibility/2006">
          <mc:Choice Requires="x14">
            <control shapeId="1083" r:id="rId14" name="ChckBx_TIA">
              <controlPr defaultSize="0" autoFill="0" autoLine="0" autoPict="0">
                <anchor moveWithCells="1" sizeWithCells="1">
                  <from>
                    <xdr:col>29</xdr:col>
                    <xdr:colOff>7620</xdr:colOff>
                    <xdr:row>4</xdr:row>
                    <xdr:rowOff>22860</xdr:rowOff>
                  </from>
                  <to>
                    <xdr:col>32</xdr:col>
                    <xdr:colOff>106680</xdr:colOff>
                    <xdr:row>6</xdr:row>
                    <xdr:rowOff>7620</xdr:rowOff>
                  </to>
                </anchor>
              </controlPr>
            </control>
          </mc:Choice>
        </mc:AlternateContent>
        <mc:AlternateContent xmlns:mc="http://schemas.openxmlformats.org/markup-compatibility/2006">
          <mc:Choice Requires="x14">
            <control shapeId="1097" r:id="rId15" name="Check Box 73">
              <controlPr defaultSize="0" autoFill="0" autoLine="0" autoPict="0">
                <anchor moveWithCells="1" sizeWithCells="1">
                  <from>
                    <xdr:col>30</xdr:col>
                    <xdr:colOff>38100</xdr:colOff>
                    <xdr:row>34</xdr:row>
                    <xdr:rowOff>22860</xdr:rowOff>
                  </from>
                  <to>
                    <xdr:col>31</xdr:col>
                    <xdr:colOff>137160</xdr:colOff>
                    <xdr:row>35</xdr:row>
                    <xdr:rowOff>106680</xdr:rowOff>
                  </to>
                </anchor>
              </controlPr>
            </control>
          </mc:Choice>
        </mc:AlternateContent>
        <mc:AlternateContent xmlns:mc="http://schemas.openxmlformats.org/markup-compatibility/2006">
          <mc:Choice Requires="x14">
            <control shapeId="1098" r:id="rId16" name="Check Box 74">
              <controlPr defaultSize="0" autoFill="0" autoLine="0" autoPict="0">
                <anchor moveWithCells="1" sizeWithCells="1">
                  <from>
                    <xdr:col>30</xdr:col>
                    <xdr:colOff>30480</xdr:colOff>
                    <xdr:row>35</xdr:row>
                    <xdr:rowOff>144780</xdr:rowOff>
                  </from>
                  <to>
                    <xdr:col>31</xdr:col>
                    <xdr:colOff>121920</xdr:colOff>
                    <xdr:row>37</xdr:row>
                    <xdr:rowOff>60960</xdr:rowOff>
                  </to>
                </anchor>
              </controlPr>
            </control>
          </mc:Choice>
        </mc:AlternateContent>
        <mc:AlternateContent xmlns:mc="http://schemas.openxmlformats.org/markup-compatibility/2006">
          <mc:Choice Requires="x14">
            <control shapeId="1099" r:id="rId17" name="Check Box 75">
              <controlPr defaultSize="0" autoFill="0" autoLine="0" autoPict="0">
                <anchor moveWithCells="1" sizeWithCells="1">
                  <from>
                    <xdr:col>30</xdr:col>
                    <xdr:colOff>38100</xdr:colOff>
                    <xdr:row>37</xdr:row>
                    <xdr:rowOff>99060</xdr:rowOff>
                  </from>
                  <to>
                    <xdr:col>31</xdr:col>
                    <xdr:colOff>137160</xdr:colOff>
                    <xdr:row>38</xdr:row>
                    <xdr:rowOff>144780</xdr:rowOff>
                  </to>
                </anchor>
              </controlPr>
            </control>
          </mc:Choice>
        </mc:AlternateContent>
        <mc:AlternateContent xmlns:mc="http://schemas.openxmlformats.org/markup-compatibility/2006">
          <mc:Choice Requires="x14">
            <control shapeId="1100" r:id="rId18" name="Check Box 76">
              <controlPr defaultSize="0" autoFill="0" autoLine="0" autoPict="0">
                <anchor moveWithCells="1" sizeWithCells="1">
                  <from>
                    <xdr:col>31</xdr:col>
                    <xdr:colOff>182880</xdr:colOff>
                    <xdr:row>34</xdr:row>
                    <xdr:rowOff>30480</xdr:rowOff>
                  </from>
                  <to>
                    <xdr:col>32</xdr:col>
                    <xdr:colOff>274320</xdr:colOff>
                    <xdr:row>35</xdr:row>
                    <xdr:rowOff>114300</xdr:rowOff>
                  </to>
                </anchor>
              </controlPr>
            </control>
          </mc:Choice>
        </mc:AlternateContent>
        <mc:AlternateContent xmlns:mc="http://schemas.openxmlformats.org/markup-compatibility/2006">
          <mc:Choice Requires="x14">
            <control shapeId="1101" r:id="rId19" name="Check Box 77">
              <controlPr defaultSize="0" autoFill="0" autoLine="0" autoPict="0">
                <anchor moveWithCells="1" sizeWithCells="1">
                  <from>
                    <xdr:col>31</xdr:col>
                    <xdr:colOff>175260</xdr:colOff>
                    <xdr:row>35</xdr:row>
                    <xdr:rowOff>144780</xdr:rowOff>
                  </from>
                  <to>
                    <xdr:col>32</xdr:col>
                    <xdr:colOff>266700</xdr:colOff>
                    <xdr:row>37</xdr:row>
                    <xdr:rowOff>60960</xdr:rowOff>
                  </to>
                </anchor>
              </controlPr>
            </control>
          </mc:Choice>
        </mc:AlternateContent>
        <mc:AlternateContent xmlns:mc="http://schemas.openxmlformats.org/markup-compatibility/2006">
          <mc:Choice Requires="x14">
            <control shapeId="1103" r:id="rId20" name="Check Box 79">
              <controlPr defaultSize="0" autoFill="0" autoLine="0" autoPict="0">
                <anchor moveWithCells="1" sizeWithCells="1">
                  <from>
                    <xdr:col>31</xdr:col>
                    <xdr:colOff>175260</xdr:colOff>
                    <xdr:row>37</xdr:row>
                    <xdr:rowOff>83820</xdr:rowOff>
                  </from>
                  <to>
                    <xdr:col>32</xdr:col>
                    <xdr:colOff>312420</xdr:colOff>
                    <xdr:row>38</xdr:row>
                    <xdr:rowOff>137160</xdr:rowOff>
                  </to>
                </anchor>
              </controlPr>
            </control>
          </mc:Choice>
        </mc:AlternateContent>
        <mc:AlternateContent xmlns:mc="http://schemas.openxmlformats.org/markup-compatibility/2006">
          <mc:Choice Requires="x14">
            <control shapeId="1104" r:id="rId21" name="Check Box 80">
              <controlPr defaultSize="0" autoFill="0" autoLine="0" autoPict="0">
                <anchor moveWithCells="1" sizeWithCells="1">
                  <from>
                    <xdr:col>32</xdr:col>
                    <xdr:colOff>312420</xdr:colOff>
                    <xdr:row>34</xdr:row>
                    <xdr:rowOff>30480</xdr:rowOff>
                  </from>
                  <to>
                    <xdr:col>33</xdr:col>
                    <xdr:colOff>411480</xdr:colOff>
                    <xdr:row>35</xdr:row>
                    <xdr:rowOff>114300</xdr:rowOff>
                  </to>
                </anchor>
              </controlPr>
            </control>
          </mc:Choice>
        </mc:AlternateContent>
        <mc:AlternateContent xmlns:mc="http://schemas.openxmlformats.org/markup-compatibility/2006">
          <mc:Choice Requires="x14">
            <control shapeId="1105" r:id="rId22" name="Check Box 81">
              <controlPr defaultSize="0" autoFill="0" autoLine="0" autoPict="0">
                <anchor moveWithCells="1" sizeWithCells="1">
                  <from>
                    <xdr:col>32</xdr:col>
                    <xdr:colOff>312420</xdr:colOff>
                    <xdr:row>35</xdr:row>
                    <xdr:rowOff>152400</xdr:rowOff>
                  </from>
                  <to>
                    <xdr:col>33</xdr:col>
                    <xdr:colOff>411480</xdr:colOff>
                    <xdr:row>37</xdr:row>
                    <xdr:rowOff>45720</xdr:rowOff>
                  </to>
                </anchor>
              </controlPr>
            </control>
          </mc:Choice>
        </mc:AlternateContent>
        <mc:AlternateContent xmlns:mc="http://schemas.openxmlformats.org/markup-compatibility/2006">
          <mc:Choice Requires="x14">
            <control shapeId="1107" r:id="rId23" name="Button 83">
              <controlPr defaultSize="0" print="0" autoFill="0" autoPict="0" macro="[0]!SignDocument">
                <anchor moveWithCells="1" sizeWithCells="1">
                  <from>
                    <xdr:col>8</xdr:col>
                    <xdr:colOff>259080</xdr:colOff>
                    <xdr:row>80</xdr:row>
                    <xdr:rowOff>274320</xdr:rowOff>
                  </from>
                  <to>
                    <xdr:col>13</xdr:col>
                    <xdr:colOff>7620</xdr:colOff>
                    <xdr:row>82</xdr:row>
                    <xdr:rowOff>45720</xdr:rowOff>
                  </to>
                </anchor>
              </controlPr>
            </control>
          </mc:Choice>
        </mc:AlternateContent>
        <mc:AlternateContent xmlns:mc="http://schemas.openxmlformats.org/markup-compatibility/2006">
          <mc:Choice Requires="x14">
            <control shapeId="1111" r:id="rId24" name="Check Box 87">
              <controlPr defaultSize="0" autoFill="0" autoLine="0" autoPict="0">
                <anchor moveWithCells="1" sizeWithCells="1">
                  <from>
                    <xdr:col>32</xdr:col>
                    <xdr:colOff>350520</xdr:colOff>
                    <xdr:row>37</xdr:row>
                    <xdr:rowOff>83820</xdr:rowOff>
                  </from>
                  <to>
                    <xdr:col>33</xdr:col>
                    <xdr:colOff>449580</xdr:colOff>
                    <xdr:row>38</xdr:row>
                    <xdr:rowOff>137160</xdr:rowOff>
                  </to>
                </anchor>
              </controlPr>
            </control>
          </mc:Choice>
        </mc:AlternateContent>
        <mc:AlternateContent xmlns:mc="http://schemas.openxmlformats.org/markup-compatibility/2006">
          <mc:Choice Requires="x14">
            <control shapeId="1116" r:id="rId25" name="Button 92">
              <controlPr defaultSize="0" print="0" autoFill="0" autoPict="0" macro="[0]!ExportTwoPagesPDF">
                <anchor moveWithCells="1" sizeWithCells="1">
                  <from>
                    <xdr:col>24</xdr:col>
                    <xdr:colOff>266700</xdr:colOff>
                    <xdr:row>1</xdr:row>
                    <xdr:rowOff>38100</xdr:rowOff>
                  </from>
                  <to>
                    <xdr:col>25</xdr:col>
                    <xdr:colOff>342900</xdr:colOff>
                    <xdr:row>2</xdr:row>
                    <xdr:rowOff>30480</xdr:rowOff>
                  </to>
                </anchor>
              </controlPr>
            </control>
          </mc:Choice>
        </mc:AlternateContent>
        <mc:AlternateContent xmlns:mc="http://schemas.openxmlformats.org/markup-compatibility/2006">
          <mc:Choice Requires="x14">
            <control shapeId="1118" r:id="rId26" name="Check Box 94">
              <controlPr defaultSize="0" autoFill="0" autoLine="0" autoPict="0">
                <anchor moveWithCells="1" sizeWithCells="1">
                  <from>
                    <xdr:col>29</xdr:col>
                    <xdr:colOff>7620</xdr:colOff>
                    <xdr:row>21</xdr:row>
                    <xdr:rowOff>38100</xdr:rowOff>
                  </from>
                  <to>
                    <xdr:col>34</xdr:col>
                    <xdr:colOff>297180</xdr:colOff>
                    <xdr:row>23</xdr:row>
                    <xdr:rowOff>22860</xdr:rowOff>
                  </to>
                </anchor>
              </controlPr>
            </control>
          </mc:Choice>
        </mc:AlternateContent>
        <mc:AlternateContent xmlns:mc="http://schemas.openxmlformats.org/markup-compatibility/2006">
          <mc:Choice Requires="x14">
            <control shapeId="1122" r:id="rId27" name="Button 98">
              <controlPr defaultSize="0" print="0" autoFill="0" autoPict="0" macro="[0]!ResetForm_Medium">
                <anchor moveWithCells="1" sizeWithCells="1">
                  <from>
                    <xdr:col>24</xdr:col>
                    <xdr:colOff>274320</xdr:colOff>
                    <xdr:row>2</xdr:row>
                    <xdr:rowOff>68580</xdr:rowOff>
                  </from>
                  <to>
                    <xdr:col>25</xdr:col>
                    <xdr:colOff>350520</xdr:colOff>
                    <xdr:row>3</xdr:row>
                    <xdr:rowOff>114300</xdr:rowOff>
                  </to>
                </anchor>
              </controlPr>
            </control>
          </mc:Choice>
        </mc:AlternateContent>
        <mc:AlternateContent xmlns:mc="http://schemas.openxmlformats.org/markup-compatibility/2006">
          <mc:Choice Requires="x14">
            <control shapeId="1127" r:id="rId28" name="Button 103">
              <controlPr defaultSize="0" print="0" autoFill="0" autoPict="0" macro="[0]!ToggleExtraLandUseRows_Existing">
                <anchor moveWithCells="1" sizeWithCells="1">
                  <from>
                    <xdr:col>21</xdr:col>
                    <xdr:colOff>30480</xdr:colOff>
                    <xdr:row>1</xdr:row>
                    <xdr:rowOff>22860</xdr:rowOff>
                  </from>
                  <to>
                    <xdr:col>23</xdr:col>
                    <xdr:colOff>30480</xdr:colOff>
                    <xdr:row>1</xdr:row>
                    <xdr:rowOff>198120</xdr:rowOff>
                  </to>
                </anchor>
              </controlPr>
            </control>
          </mc:Choice>
        </mc:AlternateContent>
        <mc:AlternateContent xmlns:mc="http://schemas.openxmlformats.org/markup-compatibility/2006">
          <mc:Choice Requires="x14">
            <control shapeId="1128" r:id="rId29" name="Button 104">
              <controlPr defaultSize="0" print="0" autoFill="0" autoPict="0" macro="[0]!ToggleCustomLandUseRows_Existing">
                <anchor moveWithCells="1" sizeWithCells="1">
                  <from>
                    <xdr:col>24</xdr:col>
                    <xdr:colOff>312420</xdr:colOff>
                    <xdr:row>4</xdr:row>
                    <xdr:rowOff>30480</xdr:rowOff>
                  </from>
                  <to>
                    <xdr:col>25</xdr:col>
                    <xdr:colOff>274320</xdr:colOff>
                    <xdr:row>7</xdr:row>
                    <xdr:rowOff>45720</xdr:rowOff>
                  </to>
                </anchor>
              </controlPr>
            </control>
          </mc:Choice>
        </mc:AlternateContent>
        <mc:AlternateContent xmlns:mc="http://schemas.openxmlformats.org/markup-compatibility/2006">
          <mc:Choice Requires="x14">
            <control shapeId="1129" r:id="rId30" name="Button 105">
              <controlPr defaultSize="0" print="0" autoFill="0" autoPict="0" macro="[0]!ToggleCustomLandUseRows_Proposed">
                <anchor moveWithCells="1" sizeWithCells="1">
                  <from>
                    <xdr:col>25</xdr:col>
                    <xdr:colOff>350520</xdr:colOff>
                    <xdr:row>4</xdr:row>
                    <xdr:rowOff>30480</xdr:rowOff>
                  </from>
                  <to>
                    <xdr:col>26</xdr:col>
                    <xdr:colOff>312420</xdr:colOff>
                    <xdr:row>7</xdr:row>
                    <xdr:rowOff>45720</xdr:rowOff>
                  </to>
                </anchor>
              </controlPr>
            </control>
          </mc:Choice>
        </mc:AlternateContent>
        <mc:AlternateContent xmlns:mc="http://schemas.openxmlformats.org/markup-compatibility/2006">
          <mc:Choice Requires="x14">
            <control shapeId="1130" r:id="rId31" name="Button 106">
              <controlPr defaultSize="0" print="0" autoFill="0" autoPict="0" macro="[0]!ToggleExtraLandUseRows_Proposed">
                <anchor moveWithCells="1" sizeWithCells="1">
                  <from>
                    <xdr:col>21</xdr:col>
                    <xdr:colOff>30480</xdr:colOff>
                    <xdr:row>1</xdr:row>
                    <xdr:rowOff>198120</xdr:rowOff>
                  </from>
                  <to>
                    <xdr:col>23</xdr:col>
                    <xdr:colOff>30480</xdr:colOff>
                    <xdr:row>3</xdr:row>
                    <xdr:rowOff>121920</xdr:rowOff>
                  </to>
                </anchor>
              </controlPr>
            </control>
          </mc:Choice>
        </mc:AlternateContent>
        <mc:AlternateContent xmlns:mc="http://schemas.openxmlformats.org/markup-compatibility/2006">
          <mc:Choice Requires="x14">
            <control shapeId="1131" r:id="rId32" name="Check Box 107">
              <controlPr defaultSize="0" autoFill="0" autoLine="0" autoPict="0">
                <anchor moveWithCells="1" sizeWithCells="1">
                  <from>
                    <xdr:col>34</xdr:col>
                    <xdr:colOff>99060</xdr:colOff>
                    <xdr:row>17</xdr:row>
                    <xdr:rowOff>45720</xdr:rowOff>
                  </from>
                  <to>
                    <xdr:col>34</xdr:col>
                    <xdr:colOff>480060</xdr:colOff>
                    <xdr:row>19</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2FADFE9C-40C4-43E4-8873-BC341061668F}">
          <x14:formula1>
            <xm:f>'Land Uses'!$N$191:$N$194</xm:f>
          </x14:formula1>
          <xm:sqref>S5:W5</xm:sqref>
        </x14:dataValidation>
        <x14:dataValidation type="list" allowBlank="1" showInputMessage="1" showErrorMessage="1" xr:uid="{69BF42C3-5BAC-4BE0-ABB4-8216ED4364E7}">
          <x14:formula1>
            <xm:f>'Land Uses'!$O$2:$O$12</xm:f>
          </x14:formula1>
          <xm:sqref>F18:F27 G18:H22</xm:sqref>
        </x14:dataValidation>
        <x14:dataValidation type="list" allowBlank="1" showInputMessage="1" showErrorMessage="1" xr:uid="{41FB328C-5C80-472C-B016-708426CAB9CA}">
          <x14:formula1>
            <xm:f>'Land Uses'!$O$1:$O$12</xm:f>
          </x14:formula1>
          <xm:sqref>F36:H45</xm:sqref>
        </x14:dataValidation>
        <x14:dataValidation type="list" allowBlank="1" showInputMessage="1" showErrorMessage="1" xr:uid="{DC8E97D2-957A-4D89-8167-4A0AD2EB2AD6}">
          <x14:formula1>
            <xm:f>'Land Uses'!$N$181:$N$184</xm:f>
          </x14:formula1>
          <xm:sqref>K54:N57</xm:sqref>
        </x14:dataValidation>
        <x14:dataValidation type="list" allowBlank="1" showInputMessage="1" showErrorMessage="1" xr:uid="{5FBEB432-D66E-4CAD-A212-7E9A4D101D03}">
          <x14:formula1>
            <xm:f>'Land Uses'!$N$185:$N$190</xm:f>
          </x14:formula1>
          <xm:sqref>T54:W57</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6856E-DCBF-4D05-827A-656DAF2B68BB}">
  <sheetPr codeName="Sheet2"/>
  <dimension ref="A1:AA194"/>
  <sheetViews>
    <sheetView showGridLines="0" zoomScaleNormal="100" workbookViewId="0">
      <pane ySplit="1" topLeftCell="A75" activePane="bottomLeft" state="frozen"/>
      <selection pane="bottomLeft" sqref="A1:XFD1048576"/>
    </sheetView>
  </sheetViews>
  <sheetFormatPr defaultColWidth="0" defaultRowHeight="14.4"/>
  <cols>
    <col min="1" max="1" width="52.44140625" style="69" bestFit="1" customWidth="1"/>
    <col min="2" max="2" width="35.6640625" style="69" bestFit="1" customWidth="1"/>
    <col min="3" max="3" width="68.6640625" style="69" hidden="1" customWidth="1"/>
    <col min="4" max="4" width="7.5546875" style="69" hidden="1" customWidth="1"/>
    <col min="5" max="5" width="26.33203125" style="69" hidden="1" customWidth="1"/>
    <col min="6" max="6" width="11.5546875" style="69" hidden="1" customWidth="1"/>
    <col min="7" max="7" width="25.33203125" style="69" hidden="1" customWidth="1"/>
    <col min="8" max="8" width="10.33203125" style="69" hidden="1" customWidth="1"/>
    <col min="9" max="10" width="9.44140625" style="69" hidden="1" customWidth="1"/>
    <col min="11" max="11" width="13.44140625" style="69" hidden="1" customWidth="1"/>
    <col min="12" max="12" width="11.88671875" style="69" hidden="1" customWidth="1"/>
    <col min="13" max="13" width="12.33203125" style="69" hidden="1" customWidth="1"/>
    <col min="14" max="14" width="71.109375" style="69" hidden="1" customWidth="1"/>
    <col min="15" max="15" width="20" style="69" hidden="1" customWidth="1"/>
    <col min="16" max="16" width="47.6640625" style="69" hidden="1" customWidth="1"/>
    <col min="17" max="17" width="57.109375" style="69" hidden="1" customWidth="1"/>
    <col min="18" max="18" width="44.109375" style="69" hidden="1" customWidth="1"/>
    <col min="19" max="19" width="26.88671875" style="69" hidden="1" customWidth="1"/>
    <col min="20" max="20" width="41.109375" style="69" hidden="1" customWidth="1"/>
    <col min="21" max="21" width="35.88671875" style="69" hidden="1" customWidth="1"/>
    <col min="22" max="22" width="35.5546875" style="69" hidden="1" customWidth="1"/>
    <col min="23" max="23" width="36.33203125" style="69" hidden="1" customWidth="1"/>
    <col min="24" max="24" width="39.6640625" style="69" hidden="1" customWidth="1"/>
    <col min="25" max="25" width="50.5546875" style="69" hidden="1" customWidth="1"/>
    <col min="26" max="26" width="9.109375" style="69" hidden="1" customWidth="1"/>
    <col min="27" max="27" width="88.33203125" style="86" customWidth="1"/>
    <col min="28" max="16384" width="0" style="69" hidden="1"/>
  </cols>
  <sheetData>
    <row r="1" spans="1:27" ht="63.75" customHeight="1">
      <c r="A1" s="67" t="s">
        <v>14</v>
      </c>
      <c r="B1" s="67" t="s">
        <v>15</v>
      </c>
      <c r="C1" s="67" t="s">
        <v>16</v>
      </c>
      <c r="D1" s="68" t="s">
        <v>17</v>
      </c>
      <c r="E1" s="68" t="s">
        <v>18</v>
      </c>
      <c r="F1" s="68" t="s">
        <v>19</v>
      </c>
      <c r="G1" s="69" t="s">
        <v>20</v>
      </c>
      <c r="H1" s="70" t="s">
        <v>21</v>
      </c>
      <c r="I1" s="70" t="s">
        <v>22</v>
      </c>
      <c r="J1" s="70" t="s">
        <v>23</v>
      </c>
      <c r="K1" s="70" t="s">
        <v>24</v>
      </c>
      <c r="L1" s="70" t="s">
        <v>477</v>
      </c>
      <c r="M1" s="70" t="s">
        <v>478</v>
      </c>
      <c r="AA1" s="71" t="s">
        <v>479</v>
      </c>
    </row>
    <row r="2" spans="1:27" ht="63.75" customHeight="1">
      <c r="A2" s="72"/>
      <c r="B2" s="72" t="s">
        <v>25</v>
      </c>
      <c r="H2" s="70"/>
      <c r="I2" s="70"/>
      <c r="J2" s="70"/>
      <c r="K2" s="70"/>
      <c r="L2" s="70"/>
      <c r="M2" s="70"/>
      <c r="N2" s="73" t="s">
        <v>248</v>
      </c>
      <c r="O2" s="72" t="s">
        <v>657</v>
      </c>
      <c r="P2" s="72" t="s">
        <v>25</v>
      </c>
      <c r="Q2" s="72" t="s">
        <v>36</v>
      </c>
      <c r="R2" s="72" t="s">
        <v>52</v>
      </c>
      <c r="S2" s="72" t="s">
        <v>79</v>
      </c>
      <c r="T2" s="72" t="s">
        <v>88</v>
      </c>
      <c r="U2" s="72" t="s">
        <v>129</v>
      </c>
      <c r="V2" s="72" t="s">
        <v>155</v>
      </c>
      <c r="W2" s="72" t="s">
        <v>161</v>
      </c>
      <c r="X2" s="72" t="s">
        <v>173</v>
      </c>
      <c r="Y2" s="72" t="s">
        <v>221</v>
      </c>
      <c r="AA2" s="74"/>
    </row>
    <row r="3" spans="1:27" ht="63.75" customHeight="1">
      <c r="A3" s="75" t="s">
        <v>26</v>
      </c>
      <c r="B3" s="76" t="s">
        <v>27</v>
      </c>
      <c r="C3" s="69" t="s">
        <v>689</v>
      </c>
      <c r="D3" s="69">
        <v>1.21</v>
      </c>
      <c r="E3" s="77"/>
      <c r="F3" s="69" t="s">
        <v>17</v>
      </c>
      <c r="H3" s="70"/>
      <c r="I3" s="70"/>
      <c r="J3" s="70"/>
      <c r="K3" s="70"/>
      <c r="L3" s="70"/>
      <c r="M3" s="70"/>
      <c r="N3" s="73" t="s">
        <v>694</v>
      </c>
      <c r="O3" s="72" t="s">
        <v>658</v>
      </c>
      <c r="P3" s="73" t="s">
        <v>248</v>
      </c>
      <c r="Q3" s="73" t="s">
        <v>250</v>
      </c>
      <c r="R3" s="73" t="s">
        <v>261</v>
      </c>
      <c r="S3" s="73" t="s">
        <v>277</v>
      </c>
      <c r="T3" s="73" t="s">
        <v>281</v>
      </c>
      <c r="U3" s="73" t="s">
        <v>306</v>
      </c>
      <c r="V3" s="73" t="s">
        <v>327</v>
      </c>
      <c r="W3" s="73" t="s">
        <v>331</v>
      </c>
      <c r="X3" s="73" t="s">
        <v>342</v>
      </c>
      <c r="Y3" s="73" t="s">
        <v>382</v>
      </c>
      <c r="AA3" s="78" t="s">
        <v>496</v>
      </c>
    </row>
    <row r="4" spans="1:27" ht="63.75" customHeight="1">
      <c r="A4" s="75" t="s">
        <v>695</v>
      </c>
      <c r="B4" s="76" t="s">
        <v>29</v>
      </c>
      <c r="C4" s="69" t="s">
        <v>689</v>
      </c>
      <c r="D4" s="69">
        <f>1.87*10</f>
        <v>18.700000000000003</v>
      </c>
      <c r="E4" s="69" t="s">
        <v>30</v>
      </c>
      <c r="F4" s="69" t="s">
        <v>17</v>
      </c>
      <c r="G4" s="69" t="s">
        <v>472</v>
      </c>
      <c r="H4" s="70">
        <v>0.22</v>
      </c>
      <c r="I4" s="70">
        <v>35.119999999999997</v>
      </c>
      <c r="J4" s="70">
        <v>10</v>
      </c>
      <c r="K4" s="70" t="s">
        <v>31</v>
      </c>
      <c r="L4" s="70">
        <v>10.35</v>
      </c>
      <c r="M4" s="70">
        <v>36.9</v>
      </c>
      <c r="N4" s="73" t="s">
        <v>696</v>
      </c>
      <c r="O4" s="72" t="s">
        <v>659</v>
      </c>
      <c r="P4" s="73" t="s">
        <v>694</v>
      </c>
      <c r="Q4" s="73" t="s">
        <v>251</v>
      </c>
      <c r="R4" s="73" t="s">
        <v>262</v>
      </c>
      <c r="S4" s="73" t="s">
        <v>278</v>
      </c>
      <c r="T4" s="73" t="s">
        <v>697</v>
      </c>
      <c r="U4" s="73" t="s">
        <v>307</v>
      </c>
      <c r="V4" s="73" t="s">
        <v>328</v>
      </c>
      <c r="W4" s="73" t="s">
        <v>332</v>
      </c>
      <c r="X4" s="73" t="s">
        <v>343</v>
      </c>
      <c r="Y4" s="73" t="s">
        <v>383</v>
      </c>
      <c r="AA4" s="78" t="s">
        <v>497</v>
      </c>
    </row>
    <row r="5" spans="1:27" ht="63.75" customHeight="1">
      <c r="A5" s="75" t="s">
        <v>698</v>
      </c>
      <c r="B5" s="76" t="s">
        <v>699</v>
      </c>
      <c r="C5" s="69" t="s">
        <v>90</v>
      </c>
      <c r="D5" s="69">
        <v>24.91</v>
      </c>
      <c r="E5" s="77"/>
      <c r="F5" s="69" t="s">
        <v>17</v>
      </c>
      <c r="H5" s="70"/>
      <c r="I5" s="70"/>
      <c r="J5" s="70"/>
      <c r="K5" s="70"/>
      <c r="L5" s="70"/>
      <c r="M5" s="70"/>
      <c r="N5" s="73" t="s">
        <v>249</v>
      </c>
      <c r="O5" s="72" t="s">
        <v>660</v>
      </c>
      <c r="P5" s="73" t="s">
        <v>696</v>
      </c>
      <c r="Q5" s="73" t="s">
        <v>252</v>
      </c>
      <c r="R5" s="73" t="s">
        <v>263</v>
      </c>
      <c r="S5" s="73" t="s">
        <v>700</v>
      </c>
      <c r="T5" s="73" t="s">
        <v>282</v>
      </c>
      <c r="U5" s="73" t="s">
        <v>308</v>
      </c>
      <c r="V5" s="73" t="s">
        <v>701</v>
      </c>
      <c r="W5" s="73" t="s">
        <v>333</v>
      </c>
      <c r="X5" s="73" t="s">
        <v>344</v>
      </c>
      <c r="Y5" s="73" t="s">
        <v>702</v>
      </c>
      <c r="AA5" s="78" t="s">
        <v>703</v>
      </c>
    </row>
    <row r="6" spans="1:27" ht="63.75" customHeight="1">
      <c r="A6" s="75" t="s">
        <v>32</v>
      </c>
      <c r="B6" s="76" t="s">
        <v>33</v>
      </c>
      <c r="C6" s="69" t="s">
        <v>34</v>
      </c>
      <c r="D6" s="69">
        <v>3.88</v>
      </c>
      <c r="E6" s="69" t="s">
        <v>35</v>
      </c>
      <c r="F6" s="79" t="s">
        <v>18</v>
      </c>
      <c r="H6" s="70">
        <v>3.78</v>
      </c>
      <c r="I6" s="70">
        <v>44.13</v>
      </c>
      <c r="J6" s="70">
        <v>1</v>
      </c>
      <c r="K6" s="70" t="s">
        <v>31</v>
      </c>
      <c r="L6" s="70">
        <v>34</v>
      </c>
      <c r="M6" s="70">
        <v>1541</v>
      </c>
      <c r="N6" s="73" t="s">
        <v>250</v>
      </c>
      <c r="O6" s="72" t="s">
        <v>661</v>
      </c>
      <c r="P6" s="73" t="s">
        <v>249</v>
      </c>
      <c r="Q6" s="73" t="s">
        <v>704</v>
      </c>
      <c r="R6" s="73" t="s">
        <v>264</v>
      </c>
      <c r="S6" s="73" t="s">
        <v>279</v>
      </c>
      <c r="T6" s="73" t="s">
        <v>283</v>
      </c>
      <c r="U6" s="73" t="s">
        <v>309</v>
      </c>
      <c r="V6" s="73" t="s">
        <v>329</v>
      </c>
      <c r="W6" s="73" t="s">
        <v>334</v>
      </c>
      <c r="X6" s="73" t="s">
        <v>345</v>
      </c>
      <c r="Y6" s="73" t="s">
        <v>384</v>
      </c>
      <c r="AA6" s="78" t="s">
        <v>480</v>
      </c>
    </row>
    <row r="7" spans="1:27" ht="63.75" customHeight="1">
      <c r="A7" s="80"/>
      <c r="B7" s="72" t="s">
        <v>36</v>
      </c>
      <c r="C7" s="69" t="s">
        <v>37</v>
      </c>
      <c r="H7" s="70"/>
      <c r="I7" s="70"/>
      <c r="J7" s="70"/>
      <c r="K7" s="70"/>
      <c r="L7" s="70"/>
      <c r="M7" s="70"/>
      <c r="N7" s="73" t="s">
        <v>251</v>
      </c>
      <c r="O7" s="72" t="s">
        <v>662</v>
      </c>
      <c r="Q7" s="73" t="s">
        <v>253</v>
      </c>
      <c r="R7" s="73" t="s">
        <v>265</v>
      </c>
      <c r="S7" s="73" t="s">
        <v>280</v>
      </c>
      <c r="T7" s="73" t="s">
        <v>284</v>
      </c>
      <c r="U7" s="73" t="s">
        <v>310</v>
      </c>
      <c r="V7" s="73" t="s">
        <v>330</v>
      </c>
      <c r="W7" s="73" t="s">
        <v>335</v>
      </c>
      <c r="X7" s="73" t="s">
        <v>346</v>
      </c>
      <c r="Y7" s="73" t="s">
        <v>385</v>
      </c>
      <c r="AA7" s="74"/>
    </row>
    <row r="8" spans="1:27" ht="63.75" customHeight="1">
      <c r="A8" s="75" t="s">
        <v>38</v>
      </c>
      <c r="B8" s="76">
        <v>110</v>
      </c>
      <c r="C8" s="69" t="s">
        <v>689</v>
      </c>
      <c r="D8" s="69">
        <v>3.6</v>
      </c>
      <c r="E8" s="77"/>
      <c r="F8" s="69" t="s">
        <v>17</v>
      </c>
      <c r="H8" s="70"/>
      <c r="I8" s="70"/>
      <c r="J8" s="70"/>
      <c r="K8" s="70"/>
      <c r="L8" s="70"/>
      <c r="M8" s="70"/>
      <c r="N8" s="73" t="s">
        <v>252</v>
      </c>
      <c r="O8" s="72" t="s">
        <v>663</v>
      </c>
      <c r="Q8" s="73" t="s">
        <v>254</v>
      </c>
      <c r="R8" s="73" t="s">
        <v>266</v>
      </c>
      <c r="T8" s="73" t="s">
        <v>285</v>
      </c>
      <c r="U8" s="73" t="s">
        <v>311</v>
      </c>
      <c r="W8" s="73" t="s">
        <v>336</v>
      </c>
      <c r="X8" s="73" t="s">
        <v>347</v>
      </c>
      <c r="Y8" s="73" t="s">
        <v>705</v>
      </c>
      <c r="AA8" s="78" t="s">
        <v>498</v>
      </c>
    </row>
    <row r="9" spans="1:27" ht="63.75" customHeight="1">
      <c r="A9" s="75" t="s">
        <v>39</v>
      </c>
      <c r="B9" s="76">
        <v>130</v>
      </c>
      <c r="C9" s="69" t="s">
        <v>689</v>
      </c>
      <c r="D9" s="69">
        <v>2.68</v>
      </c>
      <c r="E9" s="69" t="s">
        <v>706</v>
      </c>
      <c r="F9" s="79" t="s">
        <v>18</v>
      </c>
      <c r="H9" s="70">
        <v>2.04</v>
      </c>
      <c r="I9" s="70">
        <v>808.48</v>
      </c>
      <c r="J9" s="70">
        <v>1</v>
      </c>
      <c r="K9" s="70" t="s">
        <v>31</v>
      </c>
      <c r="L9" s="70">
        <v>55</v>
      </c>
      <c r="M9" s="70">
        <v>7829.15</v>
      </c>
      <c r="N9" s="73" t="s">
        <v>704</v>
      </c>
      <c r="O9" s="72" t="s">
        <v>664</v>
      </c>
      <c r="Q9" s="73" t="s">
        <v>255</v>
      </c>
      <c r="R9" s="73" t="s">
        <v>267</v>
      </c>
      <c r="T9" s="73" t="s">
        <v>286</v>
      </c>
      <c r="U9" s="73" t="s">
        <v>312</v>
      </c>
      <c r="W9" s="73" t="s">
        <v>337</v>
      </c>
      <c r="X9" s="73" t="s">
        <v>348</v>
      </c>
      <c r="Y9" s="73" t="s">
        <v>386</v>
      </c>
      <c r="AA9" s="78" t="s">
        <v>499</v>
      </c>
    </row>
    <row r="10" spans="1:27" ht="63.75" customHeight="1">
      <c r="A10" s="75" t="s">
        <v>41</v>
      </c>
      <c r="B10" s="76">
        <v>140</v>
      </c>
      <c r="C10" s="69" t="s">
        <v>689</v>
      </c>
      <c r="D10" s="69">
        <v>4.2699999999999996</v>
      </c>
      <c r="E10" s="69" t="s">
        <v>707</v>
      </c>
      <c r="F10" s="79" t="s">
        <v>18</v>
      </c>
      <c r="H10" s="70">
        <v>0.68</v>
      </c>
      <c r="I10" s="70">
        <v>2.81</v>
      </c>
      <c r="J10" s="70">
        <v>1</v>
      </c>
      <c r="K10" s="70" t="s">
        <v>40</v>
      </c>
      <c r="L10" s="70">
        <v>1.0900000000000001</v>
      </c>
      <c r="M10" s="70">
        <v>660</v>
      </c>
      <c r="N10" s="73" t="s">
        <v>253</v>
      </c>
      <c r="O10" s="72" t="s">
        <v>665</v>
      </c>
      <c r="Q10" s="73" t="s">
        <v>256</v>
      </c>
      <c r="R10" s="73" t="s">
        <v>268</v>
      </c>
      <c r="T10" s="73" t="s">
        <v>287</v>
      </c>
      <c r="U10" s="73" t="s">
        <v>313</v>
      </c>
      <c r="W10" s="73" t="s">
        <v>338</v>
      </c>
      <c r="X10" s="73" t="s">
        <v>349</v>
      </c>
      <c r="Y10" s="73" t="s">
        <v>387</v>
      </c>
      <c r="AA10" s="78" t="s">
        <v>500</v>
      </c>
    </row>
    <row r="11" spans="1:27" ht="63.75" customHeight="1">
      <c r="A11" s="75" t="s">
        <v>708</v>
      </c>
      <c r="B11" s="76">
        <v>150</v>
      </c>
      <c r="C11" s="69" t="s">
        <v>689</v>
      </c>
      <c r="D11" s="69">
        <v>1.38</v>
      </c>
      <c r="E11" s="69" t="s">
        <v>709</v>
      </c>
      <c r="F11" s="79" t="s">
        <v>18</v>
      </c>
      <c r="H11" s="70">
        <v>1.56</v>
      </c>
      <c r="I11" s="70">
        <v>-97.97</v>
      </c>
      <c r="J11" s="70">
        <v>1</v>
      </c>
      <c r="K11" s="70" t="s">
        <v>31</v>
      </c>
      <c r="L11" s="70">
        <v>3.89</v>
      </c>
      <c r="M11" s="70">
        <v>3329.89</v>
      </c>
      <c r="N11" s="73" t="s">
        <v>254</v>
      </c>
      <c r="O11" s="72" t="s">
        <v>666</v>
      </c>
      <c r="Q11" s="73" t="s">
        <v>257</v>
      </c>
      <c r="R11" s="73" t="s">
        <v>269</v>
      </c>
      <c r="T11" s="73" t="s">
        <v>288</v>
      </c>
      <c r="U11" s="73" t="s">
        <v>314</v>
      </c>
      <c r="W11" s="73" t="s">
        <v>339</v>
      </c>
      <c r="X11" s="73" t="s">
        <v>350</v>
      </c>
      <c r="Y11" s="73" t="s">
        <v>388</v>
      </c>
      <c r="AA11" s="78" t="s">
        <v>501</v>
      </c>
    </row>
    <row r="12" spans="1:27" ht="63.75" customHeight="1">
      <c r="A12" s="75" t="s">
        <v>42</v>
      </c>
      <c r="B12" s="76">
        <v>151</v>
      </c>
      <c r="C12" s="69" t="s">
        <v>689</v>
      </c>
      <c r="D12" s="69">
        <v>1.29</v>
      </c>
      <c r="E12" s="77"/>
      <c r="F12" s="69" t="s">
        <v>17</v>
      </c>
      <c r="H12" s="70"/>
      <c r="I12" s="70"/>
      <c r="J12" s="70"/>
      <c r="K12" s="70"/>
      <c r="L12" s="70"/>
      <c r="M12" s="70"/>
      <c r="N12" s="73" t="s">
        <v>255</v>
      </c>
      <c r="O12" s="72" t="s">
        <v>656</v>
      </c>
      <c r="Q12" s="73" t="s">
        <v>258</v>
      </c>
      <c r="R12" s="73" t="s">
        <v>270</v>
      </c>
      <c r="T12" s="73" t="s">
        <v>289</v>
      </c>
      <c r="U12" s="73" t="s">
        <v>315</v>
      </c>
      <c r="W12" s="73" t="s">
        <v>340</v>
      </c>
      <c r="X12" s="73" t="s">
        <v>801</v>
      </c>
      <c r="Y12" s="73" t="s">
        <v>436</v>
      </c>
      <c r="AA12" s="78" t="s">
        <v>502</v>
      </c>
    </row>
    <row r="13" spans="1:27" ht="63.75" customHeight="1">
      <c r="A13" s="75" t="s">
        <v>43</v>
      </c>
      <c r="B13" s="76">
        <v>154</v>
      </c>
      <c r="C13" s="69" t="s">
        <v>689</v>
      </c>
      <c r="D13" s="69">
        <v>1.4</v>
      </c>
      <c r="E13" s="77"/>
      <c r="F13" s="69" t="s">
        <v>17</v>
      </c>
      <c r="H13" s="70"/>
      <c r="I13" s="70"/>
      <c r="J13" s="70"/>
      <c r="K13" s="70"/>
      <c r="L13" s="70"/>
      <c r="M13" s="70"/>
      <c r="N13" s="73" t="s">
        <v>256</v>
      </c>
      <c r="Q13" s="73" t="s">
        <v>259</v>
      </c>
      <c r="R13" s="73" t="s">
        <v>271</v>
      </c>
      <c r="T13" s="73" t="s">
        <v>290</v>
      </c>
      <c r="U13" s="73" t="s">
        <v>711</v>
      </c>
      <c r="W13" s="73" t="s">
        <v>341</v>
      </c>
      <c r="X13" s="73" t="s">
        <v>802</v>
      </c>
      <c r="Y13" s="73" t="s">
        <v>437</v>
      </c>
      <c r="AA13" s="78" t="s">
        <v>481</v>
      </c>
    </row>
    <row r="14" spans="1:27" ht="63.75" customHeight="1">
      <c r="A14" s="75" t="s">
        <v>44</v>
      </c>
      <c r="B14" s="76">
        <v>155</v>
      </c>
      <c r="C14" s="69" t="s">
        <v>689</v>
      </c>
      <c r="D14" s="69">
        <v>1.77</v>
      </c>
      <c r="E14" s="69" t="s">
        <v>713</v>
      </c>
      <c r="F14" s="69" t="s">
        <v>17</v>
      </c>
      <c r="H14" s="70">
        <v>2.41</v>
      </c>
      <c r="I14" s="70">
        <v>-568.85</v>
      </c>
      <c r="J14" s="70">
        <v>1</v>
      </c>
      <c r="K14" s="70" t="s">
        <v>31</v>
      </c>
      <c r="L14" s="70">
        <v>322</v>
      </c>
      <c r="M14" s="70">
        <v>1472.18</v>
      </c>
      <c r="N14" s="73" t="s">
        <v>257</v>
      </c>
      <c r="Q14" s="73" t="s">
        <v>714</v>
      </c>
      <c r="R14" s="73" t="s">
        <v>272</v>
      </c>
      <c r="T14" s="73" t="s">
        <v>291</v>
      </c>
      <c r="U14" s="73" t="s">
        <v>316</v>
      </c>
      <c r="X14" s="73" t="s">
        <v>351</v>
      </c>
      <c r="Y14" s="73" t="s">
        <v>438</v>
      </c>
      <c r="AA14" s="78" t="s">
        <v>503</v>
      </c>
    </row>
    <row r="15" spans="1:27" ht="63.75" customHeight="1">
      <c r="A15" s="75" t="s">
        <v>45</v>
      </c>
      <c r="B15" s="76">
        <v>156</v>
      </c>
      <c r="C15" s="69" t="s">
        <v>689</v>
      </c>
      <c r="D15" s="69">
        <v>4.8499999999999996</v>
      </c>
      <c r="E15" s="77"/>
      <c r="F15" s="69" t="s">
        <v>17</v>
      </c>
      <c r="H15" s="70"/>
      <c r="I15" s="70"/>
      <c r="J15" s="70"/>
      <c r="K15" s="70"/>
      <c r="L15" s="70"/>
      <c r="M15" s="70"/>
      <c r="N15" s="73" t="s">
        <v>258</v>
      </c>
      <c r="Q15" s="73" t="s">
        <v>260</v>
      </c>
      <c r="R15" s="73" t="s">
        <v>273</v>
      </c>
      <c r="T15" s="73" t="s">
        <v>292</v>
      </c>
      <c r="U15" s="73" t="s">
        <v>317</v>
      </c>
      <c r="X15" s="73" t="s">
        <v>352</v>
      </c>
      <c r="Y15" s="73" t="s">
        <v>439</v>
      </c>
      <c r="AA15" s="78" t="s">
        <v>506</v>
      </c>
    </row>
    <row r="16" spans="1:27" ht="63.75" customHeight="1">
      <c r="A16" s="75" t="s">
        <v>46</v>
      </c>
      <c r="B16" s="76">
        <v>157</v>
      </c>
      <c r="C16" s="69" t="s">
        <v>689</v>
      </c>
      <c r="D16" s="69">
        <v>2.23</v>
      </c>
      <c r="E16" s="69" t="s">
        <v>715</v>
      </c>
      <c r="F16" s="79" t="s">
        <v>18</v>
      </c>
      <c r="H16" s="70">
        <v>2.86</v>
      </c>
      <c r="I16" s="70">
        <v>-354.32</v>
      </c>
      <c r="J16" s="70">
        <v>1</v>
      </c>
      <c r="K16" s="70" t="s">
        <v>31</v>
      </c>
      <c r="L16" s="70">
        <v>260.73</v>
      </c>
      <c r="M16" s="70">
        <v>1047.08</v>
      </c>
      <c r="N16" s="73" t="s">
        <v>259</v>
      </c>
      <c r="Q16" s="73" t="s">
        <v>716</v>
      </c>
      <c r="R16" s="73" t="s">
        <v>274</v>
      </c>
      <c r="T16" s="73" t="s">
        <v>293</v>
      </c>
      <c r="U16" s="73" t="s">
        <v>318</v>
      </c>
      <c r="X16" s="73" t="s">
        <v>353</v>
      </c>
      <c r="Y16" s="73" t="s">
        <v>440</v>
      </c>
      <c r="AA16" s="78" t="s">
        <v>507</v>
      </c>
    </row>
    <row r="17" spans="1:27" ht="63.75" customHeight="1">
      <c r="A17" s="75" t="s">
        <v>47</v>
      </c>
      <c r="B17" s="76">
        <v>160</v>
      </c>
      <c r="C17" s="69" t="s">
        <v>689</v>
      </c>
      <c r="D17" s="69">
        <v>0.73</v>
      </c>
      <c r="E17" s="69" t="s">
        <v>717</v>
      </c>
      <c r="F17" s="79" t="s">
        <v>18</v>
      </c>
      <c r="H17" s="70">
        <v>0.71</v>
      </c>
      <c r="I17" s="70">
        <v>1.51</v>
      </c>
      <c r="J17" s="70">
        <v>1</v>
      </c>
      <c r="K17" s="70" t="s">
        <v>40</v>
      </c>
      <c r="L17" s="70">
        <v>167.02</v>
      </c>
      <c r="M17" s="70">
        <v>1273.45</v>
      </c>
      <c r="N17" s="73" t="s">
        <v>714</v>
      </c>
      <c r="R17" s="73" t="s">
        <v>275</v>
      </c>
      <c r="T17" s="73" t="s">
        <v>294</v>
      </c>
      <c r="U17" s="73" t="s">
        <v>319</v>
      </c>
      <c r="X17" s="73" t="s">
        <v>354</v>
      </c>
      <c r="Y17" s="73" t="s">
        <v>441</v>
      </c>
      <c r="AA17" s="78" t="s">
        <v>508</v>
      </c>
    </row>
    <row r="18" spans="1:27" ht="63.75" customHeight="1">
      <c r="A18" s="75" t="s">
        <v>48</v>
      </c>
      <c r="B18" s="76">
        <v>170</v>
      </c>
      <c r="C18" s="69" t="s">
        <v>689</v>
      </c>
      <c r="D18" s="69">
        <v>12.29</v>
      </c>
      <c r="E18" s="69" t="s">
        <v>49</v>
      </c>
      <c r="F18" s="69" t="s">
        <v>17</v>
      </c>
      <c r="G18" s="69" t="s">
        <v>50</v>
      </c>
      <c r="H18" s="70">
        <v>0.74</v>
      </c>
      <c r="I18" s="70">
        <v>2.73</v>
      </c>
      <c r="J18" s="70">
        <v>1</v>
      </c>
      <c r="K18" s="70" t="s">
        <v>40</v>
      </c>
      <c r="L18" s="70">
        <v>0.35</v>
      </c>
      <c r="M18" s="70">
        <v>36.07</v>
      </c>
      <c r="N18" s="73" t="s">
        <v>260</v>
      </c>
      <c r="R18" s="73" t="s">
        <v>276</v>
      </c>
      <c r="T18" s="73" t="s">
        <v>295</v>
      </c>
      <c r="U18" s="73" t="s">
        <v>320</v>
      </c>
      <c r="X18" s="73" t="s">
        <v>355</v>
      </c>
      <c r="Y18" s="73" t="s">
        <v>395</v>
      </c>
      <c r="AA18" s="78" t="s">
        <v>509</v>
      </c>
    </row>
    <row r="19" spans="1:27" ht="63.75" customHeight="1">
      <c r="A19" s="75" t="s">
        <v>718</v>
      </c>
      <c r="B19" s="76" t="s">
        <v>719</v>
      </c>
      <c r="C19" s="69" t="s">
        <v>689</v>
      </c>
      <c r="D19" s="69">
        <v>1.88</v>
      </c>
      <c r="E19" s="77"/>
      <c r="F19" s="69" t="s">
        <v>17</v>
      </c>
      <c r="H19" s="70"/>
      <c r="I19" s="70"/>
      <c r="J19" s="70"/>
      <c r="K19" s="70"/>
      <c r="L19" s="70"/>
      <c r="M19" s="70"/>
      <c r="N19" s="73" t="s">
        <v>716</v>
      </c>
      <c r="T19" s="73" t="s">
        <v>296</v>
      </c>
      <c r="U19" s="73" t="s">
        <v>321</v>
      </c>
      <c r="X19" s="73" t="s">
        <v>356</v>
      </c>
      <c r="Y19" s="73" t="s">
        <v>396</v>
      </c>
      <c r="AA19" s="78" t="s">
        <v>720</v>
      </c>
    </row>
    <row r="20" spans="1:27" ht="63.75" customHeight="1">
      <c r="A20" s="75" t="s">
        <v>51</v>
      </c>
      <c r="B20" s="76">
        <v>180</v>
      </c>
      <c r="C20" s="69" t="s">
        <v>689</v>
      </c>
      <c r="D20" s="69">
        <v>9.82</v>
      </c>
      <c r="E20" s="77"/>
      <c r="F20" s="69" t="s">
        <v>17</v>
      </c>
      <c r="H20" s="70"/>
      <c r="I20" s="70"/>
      <c r="J20" s="70"/>
      <c r="K20" s="70"/>
      <c r="L20" s="70"/>
      <c r="M20" s="70"/>
      <c r="N20" s="73" t="s">
        <v>261</v>
      </c>
      <c r="T20" s="73" t="s">
        <v>297</v>
      </c>
      <c r="U20" s="73" t="s">
        <v>322</v>
      </c>
      <c r="X20" s="73" t="s">
        <v>357</v>
      </c>
      <c r="Y20" s="73" t="s">
        <v>397</v>
      </c>
      <c r="AA20" s="78" t="s">
        <v>510</v>
      </c>
    </row>
    <row r="21" spans="1:27" ht="63.75" customHeight="1">
      <c r="A21" s="75" t="s">
        <v>721</v>
      </c>
      <c r="B21" s="76">
        <v>190</v>
      </c>
      <c r="C21" s="69" t="s">
        <v>689</v>
      </c>
      <c r="D21" s="69">
        <v>6.4</v>
      </c>
      <c r="E21" s="77"/>
      <c r="F21" s="69" t="s">
        <v>17</v>
      </c>
      <c r="G21" s="69" t="s">
        <v>722</v>
      </c>
      <c r="H21" s="70"/>
      <c r="I21" s="70"/>
      <c r="J21" s="70"/>
      <c r="K21" s="70"/>
      <c r="L21" s="70"/>
      <c r="M21" s="70"/>
      <c r="N21" s="73" t="s">
        <v>262</v>
      </c>
      <c r="T21" s="73" t="s">
        <v>298</v>
      </c>
      <c r="U21" s="73" t="s">
        <v>323</v>
      </c>
      <c r="X21" s="73" t="s">
        <v>358</v>
      </c>
      <c r="Y21" s="73" t="s">
        <v>398</v>
      </c>
      <c r="AA21" s="78" t="s">
        <v>723</v>
      </c>
    </row>
    <row r="22" spans="1:27" ht="63.75" customHeight="1">
      <c r="A22" s="80"/>
      <c r="B22" s="72" t="s">
        <v>52</v>
      </c>
      <c r="C22" s="69" t="s">
        <v>37</v>
      </c>
      <c r="H22" s="70"/>
      <c r="I22" s="70"/>
      <c r="J22" s="70"/>
      <c r="K22" s="70"/>
      <c r="L22" s="70"/>
      <c r="M22" s="70"/>
      <c r="N22" s="73" t="s">
        <v>263</v>
      </c>
      <c r="T22" s="73" t="s">
        <v>299</v>
      </c>
      <c r="U22" s="73" t="s">
        <v>324</v>
      </c>
      <c r="X22" s="73" t="s">
        <v>359</v>
      </c>
      <c r="Y22" s="73" t="s">
        <v>399</v>
      </c>
      <c r="AA22" s="74"/>
    </row>
    <row r="23" spans="1:27" ht="63.75" customHeight="1">
      <c r="A23" s="75" t="s">
        <v>53</v>
      </c>
      <c r="B23" s="76">
        <v>210</v>
      </c>
      <c r="C23" s="69" t="s">
        <v>54</v>
      </c>
      <c r="D23" s="69">
        <v>9.09</v>
      </c>
      <c r="E23" s="69" t="s">
        <v>724</v>
      </c>
      <c r="F23" s="79" t="s">
        <v>18</v>
      </c>
      <c r="H23" s="70">
        <v>8.07</v>
      </c>
      <c r="I23" s="70">
        <v>265.45</v>
      </c>
      <c r="J23" s="70">
        <v>1</v>
      </c>
      <c r="K23" s="70" t="s">
        <v>31</v>
      </c>
      <c r="L23" s="70">
        <v>10</v>
      </c>
      <c r="M23" s="70">
        <v>2945</v>
      </c>
      <c r="N23" s="73" t="s">
        <v>264</v>
      </c>
      <c r="T23" s="73" t="s">
        <v>300</v>
      </c>
      <c r="U23" s="73" t="s">
        <v>325</v>
      </c>
      <c r="X23" s="73" t="s">
        <v>360</v>
      </c>
      <c r="Y23" s="73" t="s">
        <v>400</v>
      </c>
      <c r="AA23" s="78" t="s">
        <v>511</v>
      </c>
    </row>
    <row r="24" spans="1:27" ht="63.75" customHeight="1">
      <c r="A24" s="75" t="s">
        <v>55</v>
      </c>
      <c r="B24" s="76">
        <v>215</v>
      </c>
      <c r="C24" s="69" t="s">
        <v>54</v>
      </c>
      <c r="D24" s="69">
        <v>6.57</v>
      </c>
      <c r="E24" s="69" t="s">
        <v>725</v>
      </c>
      <c r="F24" s="79" t="s">
        <v>18</v>
      </c>
      <c r="H24" s="70">
        <v>6.53</v>
      </c>
      <c r="I24" s="70">
        <v>3.25</v>
      </c>
      <c r="J24" s="70">
        <v>1</v>
      </c>
      <c r="K24" s="70" t="s">
        <v>31</v>
      </c>
      <c r="L24" s="70">
        <v>8</v>
      </c>
      <c r="M24" s="70">
        <v>208</v>
      </c>
      <c r="N24" s="73" t="s">
        <v>265</v>
      </c>
      <c r="T24" s="73" t="s">
        <v>726</v>
      </c>
      <c r="U24" s="73" t="s">
        <v>326</v>
      </c>
      <c r="X24" s="73" t="s">
        <v>361</v>
      </c>
      <c r="Y24" s="73" t="s">
        <v>401</v>
      </c>
      <c r="AA24" s="78" t="s">
        <v>512</v>
      </c>
    </row>
    <row r="25" spans="1:27" ht="63.75" customHeight="1">
      <c r="A25" s="75" t="s">
        <v>56</v>
      </c>
      <c r="B25" s="76">
        <v>220</v>
      </c>
      <c r="C25" s="69" t="s">
        <v>54</v>
      </c>
      <c r="D25" s="69">
        <v>6.21</v>
      </c>
      <c r="E25" s="69" t="s">
        <v>727</v>
      </c>
      <c r="F25" s="79" t="s">
        <v>18</v>
      </c>
      <c r="H25" s="70">
        <v>5.63</v>
      </c>
      <c r="I25" s="70">
        <v>120.45</v>
      </c>
      <c r="J25" s="70">
        <v>1</v>
      </c>
      <c r="K25" s="70" t="s">
        <v>31</v>
      </c>
      <c r="L25" s="70">
        <v>33</v>
      </c>
      <c r="M25" s="70">
        <v>450</v>
      </c>
      <c r="N25" s="73" t="s">
        <v>266</v>
      </c>
      <c r="T25" s="73" t="s">
        <v>728</v>
      </c>
      <c r="X25" s="73" t="s">
        <v>362</v>
      </c>
      <c r="Y25" s="73" t="s">
        <v>402</v>
      </c>
      <c r="AA25" s="78" t="s">
        <v>518</v>
      </c>
    </row>
    <row r="26" spans="1:27" ht="63.75" customHeight="1">
      <c r="A26" s="75" t="s">
        <v>57</v>
      </c>
      <c r="B26" s="76">
        <v>221</v>
      </c>
      <c r="C26" s="69" t="s">
        <v>54</v>
      </c>
      <c r="D26" s="69">
        <v>4.46</v>
      </c>
      <c r="E26" s="69" t="s">
        <v>729</v>
      </c>
      <c r="F26" s="79" t="s">
        <v>18</v>
      </c>
      <c r="H26" s="70">
        <v>4.55</v>
      </c>
      <c r="I26" s="70">
        <v>-17.52</v>
      </c>
      <c r="J26" s="70">
        <v>1</v>
      </c>
      <c r="K26" s="70" t="s">
        <v>31</v>
      </c>
      <c r="L26" s="70">
        <v>60</v>
      </c>
      <c r="M26" s="70">
        <v>298</v>
      </c>
      <c r="N26" s="73" t="s">
        <v>267</v>
      </c>
      <c r="T26" s="73" t="s">
        <v>730</v>
      </c>
      <c r="X26" s="73" t="s">
        <v>363</v>
      </c>
      <c r="Y26" s="73" t="s">
        <v>731</v>
      </c>
      <c r="AA26" s="78" t="s">
        <v>515</v>
      </c>
    </row>
    <row r="27" spans="1:27" ht="63.75" hidden="1" customHeight="1">
      <c r="A27" s="75" t="s">
        <v>58</v>
      </c>
      <c r="B27" s="76">
        <v>222</v>
      </c>
      <c r="C27" s="69" t="s">
        <v>54</v>
      </c>
      <c r="D27" s="69">
        <v>2.6</v>
      </c>
      <c r="E27" s="77"/>
      <c r="F27" s="69" t="s">
        <v>17</v>
      </c>
      <c r="G27" s="69" t="s">
        <v>732</v>
      </c>
      <c r="H27" s="70"/>
      <c r="I27" s="70"/>
      <c r="J27" s="70"/>
      <c r="K27" s="70"/>
      <c r="L27" s="70"/>
      <c r="M27" s="70"/>
      <c r="N27" s="73" t="s">
        <v>268</v>
      </c>
      <c r="T27" s="73" t="s">
        <v>301</v>
      </c>
      <c r="X27" s="73" t="s">
        <v>364</v>
      </c>
      <c r="Y27" s="73" t="s">
        <v>733</v>
      </c>
      <c r="AA27" s="78" t="s">
        <v>513</v>
      </c>
    </row>
    <row r="28" spans="1:27" ht="63.75" customHeight="1">
      <c r="A28" s="81" t="s">
        <v>59</v>
      </c>
      <c r="B28" s="82">
        <v>223</v>
      </c>
      <c r="C28" s="83" t="s">
        <v>54</v>
      </c>
      <c r="D28" s="69">
        <v>4.8099999999999996</v>
      </c>
      <c r="E28" s="69" t="s">
        <v>60</v>
      </c>
      <c r="F28" s="79" t="s">
        <v>18</v>
      </c>
      <c r="H28" s="70">
        <v>3.72</v>
      </c>
      <c r="I28" s="70">
        <v>139.35</v>
      </c>
      <c r="J28" s="70">
        <v>1</v>
      </c>
      <c r="K28" s="70" t="s">
        <v>31</v>
      </c>
      <c r="L28" s="70">
        <v>151</v>
      </c>
      <c r="M28" s="70">
        <v>286</v>
      </c>
      <c r="N28" s="73" t="s">
        <v>269</v>
      </c>
      <c r="T28" s="73" t="s">
        <v>302</v>
      </c>
      <c r="X28" s="73" t="s">
        <v>365</v>
      </c>
      <c r="Y28" s="73" t="s">
        <v>403</v>
      </c>
      <c r="AA28" s="84"/>
    </row>
    <row r="29" spans="1:27" ht="63.75" customHeight="1">
      <c r="A29" s="75" t="s">
        <v>61</v>
      </c>
      <c r="B29" s="76">
        <v>225</v>
      </c>
      <c r="C29" s="69" t="s">
        <v>62</v>
      </c>
      <c r="D29" s="69">
        <v>3.57</v>
      </c>
      <c r="E29" s="69" t="s">
        <v>63</v>
      </c>
      <c r="F29" s="69" t="s">
        <v>17</v>
      </c>
      <c r="H29" s="70">
        <v>0.75</v>
      </c>
      <c r="I29" s="70">
        <v>2.87</v>
      </c>
      <c r="J29" s="70">
        <v>1</v>
      </c>
      <c r="K29" s="70" t="s">
        <v>40</v>
      </c>
      <c r="L29" s="70">
        <v>160</v>
      </c>
      <c r="M29" s="70">
        <v>1044</v>
      </c>
      <c r="N29" s="73" t="s">
        <v>270</v>
      </c>
      <c r="T29" s="73" t="s">
        <v>303</v>
      </c>
      <c r="X29" s="73" t="s">
        <v>366</v>
      </c>
      <c r="Y29" s="73" t="s">
        <v>404</v>
      </c>
      <c r="AA29" s="78" t="s">
        <v>516</v>
      </c>
    </row>
    <row r="30" spans="1:27" ht="63.75" customHeight="1">
      <c r="A30" s="75" t="s">
        <v>64</v>
      </c>
      <c r="B30" s="76">
        <v>226</v>
      </c>
      <c r="C30" s="69" t="s">
        <v>62</v>
      </c>
      <c r="D30" s="69">
        <v>2.57</v>
      </c>
      <c r="E30" s="77"/>
      <c r="F30" s="69" t="s">
        <v>17</v>
      </c>
      <c r="H30" s="70"/>
      <c r="I30" s="70"/>
      <c r="J30" s="70"/>
      <c r="K30" s="70"/>
      <c r="L30" s="70"/>
      <c r="M30" s="70"/>
      <c r="N30" s="73" t="s">
        <v>271</v>
      </c>
      <c r="T30" s="73" t="s">
        <v>304</v>
      </c>
      <c r="X30" s="73" t="s">
        <v>367</v>
      </c>
      <c r="Y30" s="73" t="s">
        <v>405</v>
      </c>
      <c r="AA30" s="78" t="s">
        <v>517</v>
      </c>
    </row>
    <row r="31" spans="1:27" ht="63.75" hidden="1" customHeight="1">
      <c r="A31" s="75" t="s">
        <v>65</v>
      </c>
      <c r="B31" s="76">
        <v>227</v>
      </c>
      <c r="C31" s="69" t="s">
        <v>62</v>
      </c>
      <c r="D31" s="69">
        <v>0.4</v>
      </c>
      <c r="E31" s="77"/>
      <c r="F31" s="69" t="s">
        <v>17</v>
      </c>
      <c r="G31" s="69" t="s">
        <v>732</v>
      </c>
      <c r="H31" s="70"/>
      <c r="I31" s="70"/>
      <c r="J31" s="70"/>
      <c r="K31" s="70"/>
      <c r="L31" s="70"/>
      <c r="M31" s="70"/>
      <c r="N31" s="73" t="s">
        <v>272</v>
      </c>
      <c r="T31" s="73" t="s">
        <v>734</v>
      </c>
      <c r="X31" s="73" t="s">
        <v>368</v>
      </c>
      <c r="AA31" s="78" t="s">
        <v>514</v>
      </c>
    </row>
    <row r="32" spans="1:27" ht="63.75" hidden="1" customHeight="1">
      <c r="A32" s="81" t="s">
        <v>66</v>
      </c>
      <c r="B32" s="82">
        <v>230</v>
      </c>
      <c r="C32" s="85" t="s">
        <v>67</v>
      </c>
      <c r="D32" s="69">
        <v>3.44</v>
      </c>
      <c r="E32" s="77"/>
      <c r="F32" s="69" t="s">
        <v>17</v>
      </c>
      <c r="G32" s="69" t="s">
        <v>50</v>
      </c>
      <c r="H32" s="70"/>
      <c r="I32" s="70"/>
      <c r="J32" s="70"/>
      <c r="K32" s="70"/>
      <c r="L32" s="70"/>
      <c r="M32" s="70"/>
      <c r="N32" s="73" t="s">
        <v>273</v>
      </c>
      <c r="T32" s="73" t="s">
        <v>305</v>
      </c>
      <c r="X32" s="73" t="s">
        <v>369</v>
      </c>
      <c r="AA32" s="84"/>
    </row>
    <row r="33" spans="1:27" ht="63.75" hidden="1" customHeight="1">
      <c r="A33" s="81" t="s">
        <v>68</v>
      </c>
      <c r="B33" s="82">
        <v>231</v>
      </c>
      <c r="C33" s="85" t="s">
        <v>67</v>
      </c>
      <c r="D33" s="69">
        <v>1.7</v>
      </c>
      <c r="E33" s="77"/>
      <c r="F33" s="69" t="s">
        <v>17</v>
      </c>
      <c r="G33" s="69" t="s">
        <v>50</v>
      </c>
      <c r="H33" s="70"/>
      <c r="I33" s="70"/>
      <c r="J33" s="70"/>
      <c r="K33" s="70"/>
      <c r="L33" s="70"/>
      <c r="M33" s="70"/>
      <c r="N33" s="73" t="s">
        <v>274</v>
      </c>
      <c r="X33" s="73" t="s">
        <v>370</v>
      </c>
      <c r="AA33" s="84"/>
    </row>
    <row r="34" spans="1:27" ht="63.75" customHeight="1">
      <c r="A34" s="81" t="s">
        <v>69</v>
      </c>
      <c r="B34" s="82">
        <v>232</v>
      </c>
      <c r="C34" s="85" t="s">
        <v>67</v>
      </c>
      <c r="D34" s="69">
        <v>2.1</v>
      </c>
      <c r="E34" s="77"/>
      <c r="F34" s="69" t="s">
        <v>17</v>
      </c>
      <c r="G34" s="69" t="s">
        <v>50</v>
      </c>
      <c r="H34" s="70"/>
      <c r="I34" s="70"/>
      <c r="J34" s="70"/>
      <c r="K34" s="70"/>
      <c r="L34" s="70"/>
      <c r="M34" s="70"/>
      <c r="N34" s="73" t="s">
        <v>275</v>
      </c>
      <c r="X34" s="73" t="s">
        <v>371</v>
      </c>
      <c r="AA34" s="84"/>
    </row>
    <row r="35" spans="1:27" ht="63.75" customHeight="1">
      <c r="A35" s="75" t="s">
        <v>70</v>
      </c>
      <c r="B35" s="76">
        <v>240</v>
      </c>
      <c r="C35" s="69" t="s">
        <v>54</v>
      </c>
      <c r="D35" s="69">
        <v>7.87</v>
      </c>
      <c r="E35" s="69" t="s">
        <v>735</v>
      </c>
      <c r="F35" s="69" t="s">
        <v>17</v>
      </c>
      <c r="G35" s="69" t="s">
        <v>50</v>
      </c>
      <c r="H35" s="70">
        <v>0.83</v>
      </c>
      <c r="I35" s="70">
        <v>2.85</v>
      </c>
      <c r="J35" s="70">
        <v>1</v>
      </c>
      <c r="K35" s="70" t="s">
        <v>40</v>
      </c>
      <c r="L35" s="70">
        <v>30</v>
      </c>
      <c r="M35" s="70">
        <v>206</v>
      </c>
      <c r="N35" s="73" t="s">
        <v>276</v>
      </c>
      <c r="X35" s="73" t="s">
        <v>372</v>
      </c>
      <c r="AA35" s="78" t="s">
        <v>519</v>
      </c>
    </row>
    <row r="36" spans="1:27" ht="63.75" customHeight="1">
      <c r="A36" s="75" t="s">
        <v>71</v>
      </c>
      <c r="B36" s="76">
        <v>251</v>
      </c>
      <c r="C36" s="69" t="s">
        <v>54</v>
      </c>
      <c r="D36" s="69">
        <v>4.16</v>
      </c>
      <c r="E36" s="69" t="s">
        <v>736</v>
      </c>
      <c r="F36" s="79" t="s">
        <v>18</v>
      </c>
      <c r="H36" s="70">
        <v>0.8</v>
      </c>
      <c r="I36" s="70">
        <v>2.71</v>
      </c>
      <c r="J36" s="70">
        <v>1</v>
      </c>
      <c r="K36" s="70" t="s">
        <v>40</v>
      </c>
      <c r="L36" s="70">
        <v>53</v>
      </c>
      <c r="M36" s="70">
        <v>1100</v>
      </c>
      <c r="N36" s="73" t="s">
        <v>277</v>
      </c>
      <c r="X36" s="73" t="s">
        <v>373</v>
      </c>
      <c r="AA36" s="78" t="s">
        <v>521</v>
      </c>
    </row>
    <row r="37" spans="1:27" ht="63.75" customHeight="1">
      <c r="A37" s="75" t="s">
        <v>72</v>
      </c>
      <c r="B37" s="76">
        <v>252</v>
      </c>
      <c r="C37" s="69" t="s">
        <v>54</v>
      </c>
      <c r="D37" s="69">
        <v>3.25</v>
      </c>
      <c r="E37" s="69" t="s">
        <v>737</v>
      </c>
      <c r="F37" s="79" t="s">
        <v>18</v>
      </c>
      <c r="H37" s="70">
        <v>2.97</v>
      </c>
      <c r="I37" s="70">
        <v>23.07</v>
      </c>
      <c r="J37" s="70">
        <v>1</v>
      </c>
      <c r="K37" s="70" t="s">
        <v>31</v>
      </c>
      <c r="L37" s="70">
        <v>28</v>
      </c>
      <c r="M37" s="70">
        <v>205</v>
      </c>
      <c r="N37" s="73" t="s">
        <v>278</v>
      </c>
      <c r="X37" s="73" t="s">
        <v>374</v>
      </c>
      <c r="AA37" s="78" t="s">
        <v>520</v>
      </c>
    </row>
    <row r="38" spans="1:27" ht="63.75" customHeight="1">
      <c r="A38" s="75" t="s">
        <v>73</v>
      </c>
      <c r="B38" s="76">
        <v>253</v>
      </c>
      <c r="C38" s="69" t="s">
        <v>54</v>
      </c>
      <c r="D38" s="69">
        <v>2.4300000000000002</v>
      </c>
      <c r="E38" s="77"/>
      <c r="F38" s="69" t="s">
        <v>17</v>
      </c>
      <c r="H38" s="70"/>
      <c r="I38" s="70"/>
      <c r="J38" s="70"/>
      <c r="K38" s="70"/>
      <c r="L38" s="70"/>
      <c r="M38" s="70"/>
      <c r="N38" s="73" t="s">
        <v>700</v>
      </c>
      <c r="X38" s="73" t="s">
        <v>375</v>
      </c>
      <c r="AA38" s="78" t="s">
        <v>522</v>
      </c>
    </row>
    <row r="39" spans="1:27" ht="63.75" customHeight="1">
      <c r="A39" s="75" t="s">
        <v>74</v>
      </c>
      <c r="B39" s="76">
        <v>254</v>
      </c>
      <c r="C39" s="69" t="s">
        <v>689</v>
      </c>
      <c r="D39" s="69">
        <v>4.1900000000000004</v>
      </c>
      <c r="E39" s="77"/>
      <c r="F39" s="69" t="s">
        <v>17</v>
      </c>
      <c r="G39" s="69" t="s">
        <v>50</v>
      </c>
      <c r="H39" s="70"/>
      <c r="I39" s="70"/>
      <c r="J39" s="70"/>
      <c r="K39" s="70"/>
      <c r="L39" s="70"/>
      <c r="M39" s="70"/>
      <c r="N39" s="73" t="s">
        <v>279</v>
      </c>
      <c r="X39" s="73" t="s">
        <v>376</v>
      </c>
      <c r="AA39" s="78" t="s">
        <v>523</v>
      </c>
    </row>
    <row r="40" spans="1:27" ht="63.75" customHeight="1">
      <c r="A40" s="75" t="s">
        <v>75</v>
      </c>
      <c r="B40" s="76">
        <v>255</v>
      </c>
      <c r="C40" s="69" t="s">
        <v>76</v>
      </c>
      <c r="D40" s="69">
        <v>2.52</v>
      </c>
      <c r="E40" s="69" t="s">
        <v>738</v>
      </c>
      <c r="F40" s="79" t="s">
        <v>18</v>
      </c>
      <c r="H40" s="70">
        <v>2.08</v>
      </c>
      <c r="I40" s="70">
        <v>580.32000000000005</v>
      </c>
      <c r="J40" s="70">
        <v>1</v>
      </c>
      <c r="K40" s="70" t="s">
        <v>31</v>
      </c>
      <c r="L40" s="70">
        <v>242</v>
      </c>
      <c r="M40" s="70">
        <v>2238</v>
      </c>
      <c r="N40" s="73" t="s">
        <v>280</v>
      </c>
      <c r="X40" s="73" t="s">
        <v>434</v>
      </c>
      <c r="AA40" s="78" t="s">
        <v>524</v>
      </c>
    </row>
    <row r="41" spans="1:27" ht="63.75" customHeight="1">
      <c r="A41" s="75" t="s">
        <v>77</v>
      </c>
      <c r="B41" s="76">
        <v>260</v>
      </c>
      <c r="C41" s="69" t="s">
        <v>54</v>
      </c>
      <c r="D41" s="69">
        <v>3.68</v>
      </c>
      <c r="E41" s="69" t="s">
        <v>739</v>
      </c>
      <c r="F41" s="69" t="s">
        <v>17</v>
      </c>
      <c r="H41" s="70">
        <v>0.96</v>
      </c>
      <c r="I41" s="70">
        <v>1.57</v>
      </c>
      <c r="J41" s="70">
        <v>1</v>
      </c>
      <c r="K41" s="70" t="s">
        <v>40</v>
      </c>
      <c r="L41" s="70">
        <v>132</v>
      </c>
      <c r="M41" s="70">
        <v>1527</v>
      </c>
      <c r="N41" s="73" t="s">
        <v>281</v>
      </c>
      <c r="X41" s="73" t="s">
        <v>435</v>
      </c>
      <c r="AA41" s="78" t="s">
        <v>525</v>
      </c>
    </row>
    <row r="42" spans="1:27" ht="63.75" hidden="1" customHeight="1">
      <c r="A42" s="75" t="s">
        <v>78</v>
      </c>
      <c r="B42" s="76">
        <v>265</v>
      </c>
      <c r="C42" s="69" t="s">
        <v>54</v>
      </c>
      <c r="D42" s="69">
        <v>10.029999999999999</v>
      </c>
      <c r="E42" s="69" t="s">
        <v>740</v>
      </c>
      <c r="F42" s="79" t="s">
        <v>18</v>
      </c>
      <c r="H42" s="70">
        <v>9.48</v>
      </c>
      <c r="I42" s="70">
        <v>38.04</v>
      </c>
      <c r="J42" s="70">
        <v>1</v>
      </c>
      <c r="K42" s="70" t="s">
        <v>31</v>
      </c>
      <c r="L42" s="70">
        <v>24</v>
      </c>
      <c r="M42" s="70">
        <v>198</v>
      </c>
      <c r="N42" s="73" t="s">
        <v>697</v>
      </c>
      <c r="X42" s="73" t="s">
        <v>741</v>
      </c>
      <c r="AA42" s="78" t="s">
        <v>526</v>
      </c>
    </row>
    <row r="43" spans="1:27" ht="63.75" customHeight="1">
      <c r="A43" s="80"/>
      <c r="B43" s="72" t="s">
        <v>79</v>
      </c>
      <c r="C43" s="69" t="s">
        <v>37</v>
      </c>
      <c r="H43" s="70"/>
      <c r="I43" s="70"/>
      <c r="J43" s="70"/>
      <c r="K43" s="70"/>
      <c r="L43" s="70"/>
      <c r="M43" s="70"/>
      <c r="N43" s="73" t="s">
        <v>282</v>
      </c>
      <c r="X43" s="73" t="s">
        <v>742</v>
      </c>
      <c r="AA43" s="74"/>
    </row>
    <row r="44" spans="1:27" ht="63.75" customHeight="1">
      <c r="A44" s="75" t="s">
        <v>80</v>
      </c>
      <c r="B44" s="76">
        <v>310</v>
      </c>
      <c r="C44" s="69" t="s">
        <v>81</v>
      </c>
      <c r="D44" s="69">
        <v>5.84</v>
      </c>
      <c r="E44" s="77"/>
      <c r="F44" s="69" t="s">
        <v>17</v>
      </c>
      <c r="H44" s="70"/>
      <c r="I44" s="70"/>
      <c r="J44" s="70"/>
      <c r="K44" s="70"/>
      <c r="L44" s="70"/>
      <c r="M44" s="70"/>
      <c r="N44" s="73" t="s">
        <v>283</v>
      </c>
      <c r="X44" s="73" t="s">
        <v>379</v>
      </c>
      <c r="AA44" s="78" t="s">
        <v>527</v>
      </c>
    </row>
    <row r="45" spans="1:27" ht="63.75" customHeight="1">
      <c r="A45" s="75" t="s">
        <v>82</v>
      </c>
      <c r="B45" s="76">
        <v>311</v>
      </c>
      <c r="C45" s="69" t="s">
        <v>81</v>
      </c>
      <c r="D45" s="69">
        <v>4.4000000000000004</v>
      </c>
      <c r="E45" s="69" t="s">
        <v>83</v>
      </c>
      <c r="F45" s="79" t="s">
        <v>18</v>
      </c>
      <c r="H45" s="70">
        <v>5.16</v>
      </c>
      <c r="I45" s="70">
        <v>-112.23</v>
      </c>
      <c r="J45" s="70">
        <v>1</v>
      </c>
      <c r="K45" s="70" t="s">
        <v>31</v>
      </c>
      <c r="L45" s="70">
        <v>55</v>
      </c>
      <c r="M45" s="70">
        <v>246</v>
      </c>
      <c r="N45" s="73" t="s">
        <v>284</v>
      </c>
      <c r="X45" s="73" t="s">
        <v>380</v>
      </c>
      <c r="AA45" s="78" t="s">
        <v>528</v>
      </c>
    </row>
    <row r="46" spans="1:27" ht="63.75" customHeight="1">
      <c r="A46" s="75" t="s">
        <v>743</v>
      </c>
      <c r="B46" s="76">
        <v>312</v>
      </c>
      <c r="C46" s="69" t="s">
        <v>81</v>
      </c>
      <c r="D46" s="69">
        <v>4.0199999999999996</v>
      </c>
      <c r="E46" s="69" t="s">
        <v>84</v>
      </c>
      <c r="F46" s="79" t="s">
        <v>18</v>
      </c>
      <c r="H46" s="70">
        <v>2.9</v>
      </c>
      <c r="I46" s="70">
        <v>151.69</v>
      </c>
      <c r="J46" s="70">
        <v>1</v>
      </c>
      <c r="K46" s="70" t="s">
        <v>31</v>
      </c>
      <c r="L46" s="70">
        <v>56</v>
      </c>
      <c r="M46" s="70">
        <v>299</v>
      </c>
      <c r="N46" s="73" t="s">
        <v>285</v>
      </c>
      <c r="X46" s="73" t="s">
        <v>381</v>
      </c>
      <c r="AA46" s="78" t="s">
        <v>744</v>
      </c>
    </row>
    <row r="47" spans="1:27" ht="63.75" customHeight="1">
      <c r="A47" s="75" t="s">
        <v>85</v>
      </c>
      <c r="B47" s="76">
        <v>320</v>
      </c>
      <c r="C47" s="69" t="s">
        <v>81</v>
      </c>
      <c r="D47" s="69">
        <v>3.35</v>
      </c>
      <c r="E47" s="69" t="s">
        <v>86</v>
      </c>
      <c r="F47" s="79" t="s">
        <v>18</v>
      </c>
      <c r="H47" s="70">
        <v>3.62</v>
      </c>
      <c r="I47" s="70">
        <v>-29.43</v>
      </c>
      <c r="J47" s="70">
        <v>1</v>
      </c>
      <c r="K47" s="70" t="s">
        <v>31</v>
      </c>
      <c r="L47" s="70">
        <v>40</v>
      </c>
      <c r="M47" s="70">
        <v>299</v>
      </c>
      <c r="N47" s="73" t="s">
        <v>286</v>
      </c>
      <c r="AA47" s="78" t="s">
        <v>529</v>
      </c>
    </row>
    <row r="48" spans="1:27" ht="63.75" customHeight="1">
      <c r="A48" s="75" t="s">
        <v>87</v>
      </c>
      <c r="B48" s="76">
        <v>330</v>
      </c>
      <c r="C48" s="69" t="s">
        <v>81</v>
      </c>
      <c r="D48" s="69">
        <v>2.67</v>
      </c>
      <c r="E48" s="77"/>
      <c r="F48" s="69" t="s">
        <v>17</v>
      </c>
      <c r="H48" s="70"/>
      <c r="I48" s="70"/>
      <c r="J48" s="70"/>
      <c r="K48" s="70"/>
      <c r="L48" s="70"/>
      <c r="M48" s="70"/>
      <c r="N48" s="73" t="s">
        <v>287</v>
      </c>
      <c r="AA48" s="78" t="s">
        <v>530</v>
      </c>
    </row>
    <row r="49" spans="1:27" ht="63.75" customHeight="1">
      <c r="A49" s="80"/>
      <c r="B49" s="72" t="s">
        <v>88</v>
      </c>
      <c r="C49" s="69" t="s">
        <v>37</v>
      </c>
      <c r="H49" s="70"/>
      <c r="I49" s="70"/>
      <c r="J49" s="70"/>
      <c r="K49" s="70"/>
      <c r="L49" s="70"/>
      <c r="M49" s="70"/>
      <c r="N49" s="73" t="s">
        <v>288</v>
      </c>
      <c r="AA49" s="74"/>
    </row>
    <row r="50" spans="1:27" ht="63.75" customHeight="1">
      <c r="A50" s="75" t="s">
        <v>89</v>
      </c>
      <c r="B50" s="76">
        <v>411</v>
      </c>
      <c r="C50" s="69" t="s">
        <v>90</v>
      </c>
      <c r="D50" s="69">
        <v>0.78</v>
      </c>
      <c r="E50" s="69" t="s">
        <v>91</v>
      </c>
      <c r="F50" s="69" t="s">
        <v>17</v>
      </c>
      <c r="H50" s="70">
        <v>0.54</v>
      </c>
      <c r="I50" s="70">
        <v>88.46</v>
      </c>
      <c r="J50" s="70">
        <v>1</v>
      </c>
      <c r="K50" s="70" t="s">
        <v>31</v>
      </c>
      <c r="L50" s="70">
        <v>4</v>
      </c>
      <c r="M50" s="70">
        <v>1154</v>
      </c>
      <c r="N50" s="73" t="s">
        <v>289</v>
      </c>
      <c r="AA50" s="78" t="s">
        <v>504</v>
      </c>
    </row>
    <row r="51" spans="1:27" ht="63.75" customHeight="1">
      <c r="A51" s="75" t="s">
        <v>745</v>
      </c>
      <c r="B51" s="76" t="s">
        <v>746</v>
      </c>
      <c r="C51" s="69" t="s">
        <v>90</v>
      </c>
      <c r="D51" s="69">
        <v>197.9</v>
      </c>
      <c r="E51" s="77"/>
      <c r="F51" s="69" t="s">
        <v>17</v>
      </c>
      <c r="G51" s="69" t="s">
        <v>472</v>
      </c>
      <c r="H51" s="70"/>
      <c r="I51" s="70"/>
      <c r="J51" s="70"/>
      <c r="K51" s="70"/>
      <c r="L51" s="70"/>
      <c r="M51" s="70"/>
      <c r="N51" s="73" t="s">
        <v>290</v>
      </c>
      <c r="AA51" s="78" t="s">
        <v>747</v>
      </c>
    </row>
    <row r="52" spans="1:27" ht="63.75" customHeight="1">
      <c r="A52" s="75" t="s">
        <v>92</v>
      </c>
      <c r="B52" s="76">
        <v>416</v>
      </c>
      <c r="C52" s="69" t="s">
        <v>748</v>
      </c>
      <c r="D52" s="69">
        <v>1.04</v>
      </c>
      <c r="E52" s="77"/>
      <c r="F52" s="69" t="s">
        <v>17</v>
      </c>
      <c r="H52" s="70"/>
      <c r="I52" s="70"/>
      <c r="J52" s="70"/>
      <c r="K52" s="70"/>
      <c r="L52" s="70"/>
      <c r="M52" s="70"/>
      <c r="N52" s="73" t="s">
        <v>291</v>
      </c>
      <c r="AA52" s="78" t="s">
        <v>505</v>
      </c>
    </row>
    <row r="53" spans="1:27" ht="63.75" customHeight="1">
      <c r="A53" s="75" t="s">
        <v>93</v>
      </c>
      <c r="B53" s="76">
        <v>430</v>
      </c>
      <c r="C53" s="69" t="s">
        <v>96</v>
      </c>
      <c r="D53" s="69">
        <v>30.38</v>
      </c>
      <c r="E53" s="69" t="s">
        <v>94</v>
      </c>
      <c r="F53" s="69" t="s">
        <v>17</v>
      </c>
      <c r="H53" s="70">
        <v>34.93</v>
      </c>
      <c r="I53" s="70">
        <v>-102.33</v>
      </c>
      <c r="J53" s="70">
        <v>1</v>
      </c>
      <c r="K53" s="70" t="s">
        <v>31</v>
      </c>
      <c r="L53" s="70">
        <v>18</v>
      </c>
      <c r="M53" s="70">
        <v>36</v>
      </c>
      <c r="N53" s="73" t="s">
        <v>292</v>
      </c>
      <c r="AA53" s="78" t="s">
        <v>531</v>
      </c>
    </row>
    <row r="54" spans="1:27" ht="63.75" customHeight="1">
      <c r="A54" s="75" t="s">
        <v>95</v>
      </c>
      <c r="B54" s="76">
        <v>431</v>
      </c>
      <c r="C54" s="69" t="s">
        <v>96</v>
      </c>
      <c r="D54" s="69">
        <f>0.33*10</f>
        <v>3.3000000000000003</v>
      </c>
      <c r="E54" s="77"/>
      <c r="F54" s="69" t="s">
        <v>17</v>
      </c>
      <c r="G54" s="69" t="s">
        <v>749</v>
      </c>
      <c r="H54" s="70"/>
      <c r="I54" s="70"/>
      <c r="J54" s="70"/>
      <c r="K54" s="70"/>
      <c r="L54" s="70"/>
      <c r="M54" s="70"/>
      <c r="N54" s="73" t="s">
        <v>293</v>
      </c>
      <c r="AA54" s="78" t="s">
        <v>532</v>
      </c>
    </row>
    <row r="55" spans="1:27" ht="63.75" customHeight="1">
      <c r="A55" s="75" t="s">
        <v>97</v>
      </c>
      <c r="B55" s="76">
        <v>432</v>
      </c>
      <c r="C55" s="69" t="s">
        <v>98</v>
      </c>
      <c r="D55" s="69">
        <v>13.65</v>
      </c>
      <c r="E55" s="77"/>
      <c r="F55" s="69" t="s">
        <v>17</v>
      </c>
      <c r="G55" s="69" t="s">
        <v>50</v>
      </c>
      <c r="H55" s="70"/>
      <c r="I55" s="70"/>
      <c r="J55" s="70"/>
      <c r="K55" s="70"/>
      <c r="L55" s="70"/>
      <c r="M55" s="70"/>
      <c r="N55" s="73" t="s">
        <v>294</v>
      </c>
      <c r="AA55" s="78" t="s">
        <v>533</v>
      </c>
    </row>
    <row r="56" spans="1:27" ht="63.75" customHeight="1">
      <c r="A56" s="75" t="s">
        <v>99</v>
      </c>
      <c r="B56" s="76">
        <v>433</v>
      </c>
      <c r="C56" s="69" t="s">
        <v>100</v>
      </c>
      <c r="D56" s="69">
        <f>2.22*10</f>
        <v>22.200000000000003</v>
      </c>
      <c r="E56" s="77"/>
      <c r="F56" s="69" t="s">
        <v>17</v>
      </c>
      <c r="G56" s="69" t="s">
        <v>472</v>
      </c>
      <c r="H56" s="70"/>
      <c r="I56" s="70"/>
      <c r="J56" s="70"/>
      <c r="K56" s="70"/>
      <c r="L56" s="70"/>
      <c r="M56" s="70"/>
      <c r="N56" s="73" t="s">
        <v>295</v>
      </c>
      <c r="AA56" s="78" t="s">
        <v>534</v>
      </c>
    </row>
    <row r="57" spans="1:27" ht="63.75" customHeight="1">
      <c r="A57" s="75" t="s">
        <v>101</v>
      </c>
      <c r="B57" s="76">
        <v>434</v>
      </c>
      <c r="C57" s="69" t="s">
        <v>689</v>
      </c>
      <c r="D57" s="69">
        <f>1.64*10</f>
        <v>16.399999999999999</v>
      </c>
      <c r="E57" s="77"/>
      <c r="F57" s="69" t="s">
        <v>17</v>
      </c>
      <c r="G57" s="69" t="s">
        <v>749</v>
      </c>
      <c r="H57" s="70"/>
      <c r="I57" s="70"/>
      <c r="J57" s="70"/>
      <c r="K57" s="70"/>
      <c r="L57" s="70"/>
      <c r="M57" s="70"/>
      <c r="N57" s="73" t="s">
        <v>296</v>
      </c>
      <c r="AA57" s="78" t="s">
        <v>535</v>
      </c>
    </row>
    <row r="58" spans="1:27" ht="63.75" customHeight="1">
      <c r="A58" s="75" t="s">
        <v>102</v>
      </c>
      <c r="B58" s="76">
        <v>435</v>
      </c>
      <c r="C58" s="69" t="s">
        <v>689</v>
      </c>
      <c r="D58" s="69">
        <v>34.4</v>
      </c>
      <c r="E58" s="69" t="s">
        <v>750</v>
      </c>
      <c r="F58" s="79" t="s">
        <v>18</v>
      </c>
      <c r="G58" s="69" t="s">
        <v>472</v>
      </c>
      <c r="H58" s="70">
        <v>0.96</v>
      </c>
      <c r="I58" s="70">
        <v>1.38</v>
      </c>
      <c r="J58" s="70">
        <v>10</v>
      </c>
      <c r="K58" s="70" t="s">
        <v>40</v>
      </c>
      <c r="L58" s="70">
        <v>19</v>
      </c>
      <c r="M58" s="70">
        <v>65</v>
      </c>
      <c r="N58" s="73" t="s">
        <v>297</v>
      </c>
      <c r="AA58" s="78" t="s">
        <v>536</v>
      </c>
    </row>
    <row r="59" spans="1:27" ht="63.75" customHeight="1">
      <c r="A59" s="75" t="s">
        <v>103</v>
      </c>
      <c r="B59" s="76">
        <v>436</v>
      </c>
      <c r="C59" s="69" t="s">
        <v>689</v>
      </c>
      <c r="D59" s="69">
        <v>15</v>
      </c>
      <c r="E59" s="77"/>
      <c r="F59" s="69" t="s">
        <v>17</v>
      </c>
      <c r="G59" s="69" t="s">
        <v>472</v>
      </c>
      <c r="H59" s="70"/>
      <c r="I59" s="70"/>
      <c r="J59" s="70"/>
      <c r="K59" s="70"/>
      <c r="L59" s="70"/>
      <c r="M59" s="70"/>
      <c r="N59" s="73" t="s">
        <v>298</v>
      </c>
      <c r="AA59" s="78" t="s">
        <v>537</v>
      </c>
    </row>
    <row r="60" spans="1:27" ht="63.75" customHeight="1">
      <c r="A60" s="75" t="s">
        <v>104</v>
      </c>
      <c r="B60" s="76">
        <v>437</v>
      </c>
      <c r="C60" s="69" t="s">
        <v>105</v>
      </c>
      <c r="D60" s="69">
        <v>13</v>
      </c>
      <c r="E60" s="69" t="s">
        <v>106</v>
      </c>
      <c r="F60" s="69" t="s">
        <v>17</v>
      </c>
      <c r="G60" s="69" t="s">
        <v>472</v>
      </c>
      <c r="H60" s="70">
        <v>2.75</v>
      </c>
      <c r="I60" s="70">
        <v>-43</v>
      </c>
      <c r="J60" s="70">
        <v>10</v>
      </c>
      <c r="K60" s="70" t="s">
        <v>31</v>
      </c>
      <c r="L60" s="70">
        <v>20</v>
      </c>
      <c r="M60" s="70">
        <v>40</v>
      </c>
      <c r="N60" s="73" t="s">
        <v>299</v>
      </c>
      <c r="AA60" s="78" t="s">
        <v>538</v>
      </c>
    </row>
    <row r="61" spans="1:27" ht="63.75" customHeight="1">
      <c r="A61" s="75" t="s">
        <v>107</v>
      </c>
      <c r="B61" s="76">
        <v>440</v>
      </c>
      <c r="C61" s="69" t="s">
        <v>689</v>
      </c>
      <c r="D61" s="69">
        <v>29.3</v>
      </c>
      <c r="E61" s="77"/>
      <c r="F61" s="69" t="s">
        <v>17</v>
      </c>
      <c r="G61" s="69" t="s">
        <v>749</v>
      </c>
      <c r="H61" s="70"/>
      <c r="I61" s="70"/>
      <c r="J61" s="70"/>
      <c r="K61" s="70"/>
      <c r="L61" s="70"/>
      <c r="M61" s="70"/>
      <c r="N61" s="73" t="s">
        <v>300</v>
      </c>
      <c r="AA61" s="78" t="s">
        <v>539</v>
      </c>
    </row>
    <row r="62" spans="1:27" ht="63.75" customHeight="1">
      <c r="A62" s="75" t="s">
        <v>108</v>
      </c>
      <c r="B62" s="76">
        <v>445</v>
      </c>
      <c r="C62" s="69" t="s">
        <v>689</v>
      </c>
      <c r="D62" s="69">
        <v>49.1</v>
      </c>
      <c r="E62" s="77"/>
      <c r="F62" s="69" t="s">
        <v>17</v>
      </c>
      <c r="G62" s="69" t="s">
        <v>751</v>
      </c>
      <c r="H62" s="70"/>
      <c r="I62" s="70"/>
      <c r="J62" s="70"/>
      <c r="K62" s="70"/>
      <c r="L62" s="70"/>
      <c r="M62" s="70"/>
      <c r="N62" s="73" t="s">
        <v>726</v>
      </c>
      <c r="AA62" s="78" t="s">
        <v>540</v>
      </c>
    </row>
    <row r="63" spans="1:27" ht="63.75" customHeight="1">
      <c r="A63" s="75" t="s">
        <v>109</v>
      </c>
      <c r="B63" s="76">
        <v>452</v>
      </c>
      <c r="C63" s="69" t="s">
        <v>110</v>
      </c>
      <c r="D63" s="69">
        <v>0.6</v>
      </c>
      <c r="E63" s="77"/>
      <c r="F63" s="69" t="s">
        <v>17</v>
      </c>
      <c r="G63" s="69" t="s">
        <v>50</v>
      </c>
      <c r="H63" s="70"/>
      <c r="I63" s="70"/>
      <c r="J63" s="70"/>
      <c r="K63" s="70"/>
      <c r="L63" s="70"/>
      <c r="M63" s="70"/>
      <c r="N63" s="73" t="s">
        <v>728</v>
      </c>
      <c r="AA63" s="78" t="s">
        <v>541</v>
      </c>
    </row>
    <row r="64" spans="1:27" ht="63.75" customHeight="1">
      <c r="A64" s="75" t="s">
        <v>111</v>
      </c>
      <c r="B64" s="76">
        <v>453</v>
      </c>
      <c r="C64" s="69" t="s">
        <v>112</v>
      </c>
      <c r="D64" s="69">
        <v>2.8</v>
      </c>
      <c r="E64" s="77"/>
      <c r="F64" s="69" t="s">
        <v>17</v>
      </c>
      <c r="G64" s="69" t="s">
        <v>473</v>
      </c>
      <c r="H64" s="70"/>
      <c r="I64" s="70"/>
      <c r="J64" s="70"/>
      <c r="K64" s="70"/>
      <c r="L64" s="70"/>
      <c r="M64" s="70"/>
      <c r="N64" s="73" t="s">
        <v>730</v>
      </c>
      <c r="AA64" s="78" t="s">
        <v>542</v>
      </c>
    </row>
    <row r="65" spans="1:27" ht="63.75" customHeight="1">
      <c r="A65" s="75" t="s">
        <v>113</v>
      </c>
      <c r="B65" s="76">
        <v>454</v>
      </c>
      <c r="C65" s="69" t="s">
        <v>112</v>
      </c>
      <c r="D65" s="69">
        <v>1.5</v>
      </c>
      <c r="E65" s="77"/>
      <c r="F65" s="69" t="s">
        <v>17</v>
      </c>
      <c r="G65" s="69" t="s">
        <v>749</v>
      </c>
      <c r="H65" s="70"/>
      <c r="I65" s="70"/>
      <c r="J65" s="70"/>
      <c r="K65" s="70"/>
      <c r="L65" s="70"/>
      <c r="M65" s="70"/>
      <c r="N65" s="73" t="s">
        <v>301</v>
      </c>
      <c r="AA65" s="78" t="s">
        <v>543</v>
      </c>
    </row>
    <row r="66" spans="1:27" ht="63.75" customHeight="1">
      <c r="A66" s="75" t="s">
        <v>114</v>
      </c>
      <c r="B66" s="76">
        <v>462</v>
      </c>
      <c r="C66" s="69" t="s">
        <v>112</v>
      </c>
      <c r="D66" s="69">
        <v>1.24</v>
      </c>
      <c r="E66" s="77"/>
      <c r="F66" s="69" t="s">
        <v>17</v>
      </c>
      <c r="G66" s="69" t="s">
        <v>50</v>
      </c>
      <c r="H66" s="70"/>
      <c r="I66" s="70"/>
      <c r="J66" s="70"/>
      <c r="K66" s="70"/>
      <c r="L66" s="70"/>
      <c r="M66" s="70"/>
      <c r="N66" s="73" t="s">
        <v>302</v>
      </c>
      <c r="AA66" s="78" t="s">
        <v>544</v>
      </c>
    </row>
    <row r="67" spans="1:27" ht="63.75" customHeight="1">
      <c r="A67" s="75" t="s">
        <v>115</v>
      </c>
      <c r="B67" s="76">
        <v>465</v>
      </c>
      <c r="C67" s="69" t="s">
        <v>116</v>
      </c>
      <c r="D67" s="69">
        <v>451.7</v>
      </c>
      <c r="E67" s="77"/>
      <c r="F67" s="69" t="s">
        <v>17</v>
      </c>
      <c r="G67" s="69" t="s">
        <v>749</v>
      </c>
      <c r="H67" s="70"/>
      <c r="I67" s="70"/>
      <c r="J67" s="70"/>
      <c r="K67" s="70"/>
      <c r="L67" s="70"/>
      <c r="M67" s="70"/>
      <c r="N67" s="73" t="s">
        <v>303</v>
      </c>
      <c r="AA67" s="78" t="s">
        <v>545</v>
      </c>
    </row>
    <row r="68" spans="1:27" ht="63.75" customHeight="1">
      <c r="A68" s="75" t="s">
        <v>117</v>
      </c>
      <c r="B68" s="76">
        <v>466</v>
      </c>
      <c r="C68" s="69" t="s">
        <v>118</v>
      </c>
      <c r="D68" s="69">
        <v>337.7</v>
      </c>
      <c r="E68" s="77"/>
      <c r="F68" s="69" t="s">
        <v>17</v>
      </c>
      <c r="G68" s="69" t="s">
        <v>472</v>
      </c>
      <c r="H68" s="70"/>
      <c r="I68" s="70"/>
      <c r="J68" s="70"/>
      <c r="K68" s="70"/>
      <c r="L68" s="70"/>
      <c r="M68" s="70"/>
      <c r="N68" s="73" t="s">
        <v>304</v>
      </c>
      <c r="AA68" s="78" t="s">
        <v>546</v>
      </c>
    </row>
    <row r="69" spans="1:27" ht="63.75" customHeight="1">
      <c r="A69" s="75" t="s">
        <v>119</v>
      </c>
      <c r="B69" s="76">
        <v>470</v>
      </c>
      <c r="C69" s="69" t="s">
        <v>110</v>
      </c>
      <c r="D69" s="69">
        <v>4.8</v>
      </c>
      <c r="E69" s="77"/>
      <c r="F69" s="69" t="s">
        <v>17</v>
      </c>
      <c r="G69" s="69" t="s">
        <v>472</v>
      </c>
      <c r="H69" s="70"/>
      <c r="I69" s="70"/>
      <c r="J69" s="70"/>
      <c r="K69" s="70"/>
      <c r="L69" s="70"/>
      <c r="M69" s="70"/>
      <c r="N69" s="73" t="s">
        <v>734</v>
      </c>
      <c r="AA69" s="78" t="s">
        <v>547</v>
      </c>
    </row>
    <row r="70" spans="1:27" ht="63.75" customHeight="1">
      <c r="A70" s="75" t="s">
        <v>120</v>
      </c>
      <c r="B70" s="76">
        <v>473</v>
      </c>
      <c r="C70" s="69" t="s">
        <v>689</v>
      </c>
      <c r="D70" s="69">
        <v>388.18</v>
      </c>
      <c r="E70" s="69" t="s">
        <v>121</v>
      </c>
      <c r="F70" s="69" t="s">
        <v>17</v>
      </c>
      <c r="H70" s="70">
        <v>172.89</v>
      </c>
      <c r="I70" s="70">
        <v>8101.66</v>
      </c>
      <c r="J70" s="70">
        <v>1</v>
      </c>
      <c r="K70" s="70" t="s">
        <v>31</v>
      </c>
      <c r="L70" s="70">
        <v>28.25</v>
      </c>
      <c r="M70" s="70">
        <v>50</v>
      </c>
      <c r="N70" s="73" t="s">
        <v>305</v>
      </c>
      <c r="AA70" s="78" t="s">
        <v>548</v>
      </c>
    </row>
    <row r="71" spans="1:27" ht="63.75" customHeight="1">
      <c r="A71" s="75" t="s">
        <v>752</v>
      </c>
      <c r="B71" s="76">
        <v>482</v>
      </c>
      <c r="C71" s="69" t="s">
        <v>90</v>
      </c>
      <c r="D71" s="69">
        <v>119.14</v>
      </c>
      <c r="E71" s="77"/>
      <c r="F71" s="69" t="s">
        <v>17</v>
      </c>
      <c r="G71" s="69" t="s">
        <v>50</v>
      </c>
      <c r="H71" s="70"/>
      <c r="I71" s="70"/>
      <c r="J71" s="70"/>
      <c r="K71" s="70"/>
      <c r="L71" s="70"/>
      <c r="M71" s="70"/>
      <c r="N71" s="73" t="s">
        <v>306</v>
      </c>
      <c r="AA71" s="78" t="s">
        <v>549</v>
      </c>
    </row>
    <row r="72" spans="1:27" ht="63.75" customHeight="1">
      <c r="A72" s="75" t="s">
        <v>753</v>
      </c>
      <c r="B72" s="76">
        <v>488</v>
      </c>
      <c r="C72" s="69" t="s">
        <v>122</v>
      </c>
      <c r="D72" s="69">
        <v>71.33</v>
      </c>
      <c r="E72" s="77"/>
      <c r="F72" s="69" t="s">
        <v>17</v>
      </c>
      <c r="H72" s="70"/>
      <c r="I72" s="70"/>
      <c r="J72" s="70"/>
      <c r="K72" s="70"/>
      <c r="L72" s="70"/>
      <c r="M72" s="70"/>
      <c r="N72" s="73" t="s">
        <v>307</v>
      </c>
      <c r="AA72" s="78" t="s">
        <v>550</v>
      </c>
    </row>
    <row r="73" spans="1:27" ht="63.75" customHeight="1">
      <c r="A73" s="75" t="s">
        <v>754</v>
      </c>
      <c r="B73" s="76" t="s">
        <v>755</v>
      </c>
      <c r="C73" s="69" t="s">
        <v>756</v>
      </c>
      <c r="D73" s="69">
        <v>39.22</v>
      </c>
      <c r="E73" s="77"/>
      <c r="F73" s="69" t="s">
        <v>17</v>
      </c>
      <c r="H73" s="70"/>
      <c r="I73" s="70"/>
      <c r="J73" s="70"/>
      <c r="K73" s="70"/>
      <c r="L73" s="70"/>
      <c r="M73" s="70"/>
      <c r="N73" s="73" t="s">
        <v>308</v>
      </c>
      <c r="AA73" s="78" t="s">
        <v>757</v>
      </c>
    </row>
    <row r="74" spans="1:27" ht="63.75" customHeight="1">
      <c r="A74" s="75" t="s">
        <v>123</v>
      </c>
      <c r="B74" s="76">
        <v>490</v>
      </c>
      <c r="C74" s="69" t="s">
        <v>756</v>
      </c>
      <c r="D74" s="69">
        <v>30.32</v>
      </c>
      <c r="E74" s="77"/>
      <c r="F74" s="69" t="s">
        <v>17</v>
      </c>
      <c r="G74" s="69" t="s">
        <v>50</v>
      </c>
      <c r="H74" s="70"/>
      <c r="I74" s="70"/>
      <c r="J74" s="70"/>
      <c r="K74" s="70"/>
      <c r="L74" s="70"/>
      <c r="M74" s="70"/>
      <c r="N74" s="73" t="s">
        <v>309</v>
      </c>
      <c r="AA74" s="78" t="s">
        <v>551</v>
      </c>
    </row>
    <row r="75" spans="1:27" ht="63.75" customHeight="1">
      <c r="A75" s="75" t="s">
        <v>124</v>
      </c>
      <c r="B75" s="76">
        <v>491</v>
      </c>
      <c r="C75" s="69" t="s">
        <v>756</v>
      </c>
      <c r="D75" s="69">
        <v>27.71</v>
      </c>
      <c r="E75" s="77"/>
      <c r="F75" s="69" t="s">
        <v>17</v>
      </c>
      <c r="G75" s="69" t="s">
        <v>50</v>
      </c>
      <c r="H75" s="70"/>
      <c r="I75" s="70"/>
      <c r="J75" s="70"/>
      <c r="K75" s="70"/>
      <c r="L75" s="70"/>
      <c r="M75" s="70"/>
      <c r="N75" s="73" t="s">
        <v>310</v>
      </c>
      <c r="AA75" s="78" t="s">
        <v>552</v>
      </c>
    </row>
    <row r="76" spans="1:27" ht="63.75" customHeight="1">
      <c r="A76" s="75" t="s">
        <v>125</v>
      </c>
      <c r="B76" s="76">
        <v>492</v>
      </c>
      <c r="C76" s="69" t="s">
        <v>689</v>
      </c>
      <c r="D76" s="69">
        <v>30.02</v>
      </c>
      <c r="E76" s="77"/>
      <c r="F76" s="69" t="s">
        <v>17</v>
      </c>
      <c r="H76" s="70"/>
      <c r="I76" s="70"/>
      <c r="J76" s="70"/>
      <c r="K76" s="70"/>
      <c r="L76" s="70"/>
      <c r="M76" s="70"/>
      <c r="N76" s="73" t="s">
        <v>311</v>
      </c>
      <c r="AA76" s="78" t="s">
        <v>553</v>
      </c>
    </row>
    <row r="77" spans="1:27" ht="63.75" customHeight="1">
      <c r="A77" s="75" t="s">
        <v>126</v>
      </c>
      <c r="B77" s="76">
        <v>493</v>
      </c>
      <c r="C77" s="69" t="s">
        <v>689</v>
      </c>
      <c r="D77" s="69">
        <v>33.799999999999997</v>
      </c>
      <c r="E77" s="77"/>
      <c r="F77" s="69" t="s">
        <v>17</v>
      </c>
      <c r="G77" s="69" t="s">
        <v>472</v>
      </c>
      <c r="H77" s="70"/>
      <c r="I77" s="70"/>
      <c r="J77" s="70"/>
      <c r="K77" s="70"/>
      <c r="L77" s="70"/>
      <c r="M77" s="70"/>
      <c r="N77" s="73" t="s">
        <v>312</v>
      </c>
      <c r="AA77" s="78" t="s">
        <v>554</v>
      </c>
    </row>
    <row r="78" spans="1:27" ht="63.75" customHeight="1">
      <c r="A78" s="75" t="s">
        <v>758</v>
      </c>
      <c r="B78" s="76" t="s">
        <v>759</v>
      </c>
      <c r="C78" s="69" t="s">
        <v>689</v>
      </c>
      <c r="D78" s="69">
        <v>41.14</v>
      </c>
      <c r="E78" s="77"/>
      <c r="F78" s="69" t="s">
        <v>17</v>
      </c>
      <c r="H78" s="70"/>
      <c r="I78" s="70"/>
      <c r="J78" s="70"/>
      <c r="K78" s="70"/>
      <c r="L78" s="70"/>
      <c r="M78" s="70"/>
      <c r="N78" s="73" t="s">
        <v>313</v>
      </c>
      <c r="AA78" s="78" t="s">
        <v>760</v>
      </c>
    </row>
    <row r="79" spans="1:27" ht="63.75" customHeight="1">
      <c r="A79" s="75" t="s">
        <v>127</v>
      </c>
      <c r="B79" s="76">
        <v>495</v>
      </c>
      <c r="C79" s="69" t="s">
        <v>689</v>
      </c>
      <c r="D79" s="69">
        <v>28.82</v>
      </c>
      <c r="E79" s="69" t="s">
        <v>128</v>
      </c>
      <c r="F79" s="69" t="s">
        <v>17</v>
      </c>
      <c r="H79" s="70">
        <v>0.98</v>
      </c>
      <c r="I79" s="70">
        <v>3.42</v>
      </c>
      <c r="J79" s="70">
        <v>1</v>
      </c>
      <c r="K79" s="70" t="s">
        <v>40</v>
      </c>
      <c r="L79" s="70">
        <v>38.11</v>
      </c>
      <c r="M79" s="70">
        <v>127.11</v>
      </c>
      <c r="N79" s="73" t="s">
        <v>314</v>
      </c>
      <c r="AA79" s="78" t="s">
        <v>555</v>
      </c>
    </row>
    <row r="80" spans="1:27" ht="63.75" customHeight="1">
      <c r="A80" s="80"/>
      <c r="B80" s="72" t="s">
        <v>129</v>
      </c>
      <c r="C80" s="69" t="s">
        <v>37</v>
      </c>
      <c r="H80" s="70"/>
      <c r="I80" s="70"/>
      <c r="J80" s="70"/>
      <c r="K80" s="70"/>
      <c r="L80" s="70"/>
      <c r="M80" s="70"/>
      <c r="N80" s="73" t="s">
        <v>315</v>
      </c>
      <c r="AA80" s="69"/>
    </row>
    <row r="81" spans="1:27" ht="63.75" customHeight="1">
      <c r="A81" s="75" t="s">
        <v>130</v>
      </c>
      <c r="B81" s="76">
        <v>501</v>
      </c>
      <c r="C81" s="69" t="s">
        <v>28</v>
      </c>
      <c r="D81" s="69">
        <v>3</v>
      </c>
      <c r="E81" s="77"/>
      <c r="F81" s="69" t="s">
        <v>17</v>
      </c>
      <c r="H81" s="70"/>
      <c r="I81" s="70"/>
      <c r="J81" s="70"/>
      <c r="K81" s="70"/>
      <c r="L81" s="70"/>
      <c r="M81" s="70"/>
      <c r="N81" s="73" t="s">
        <v>711</v>
      </c>
      <c r="AA81" s="78" t="s">
        <v>556</v>
      </c>
    </row>
    <row r="82" spans="1:27" ht="63.75" customHeight="1">
      <c r="A82" s="75" t="s">
        <v>131</v>
      </c>
      <c r="B82" s="76">
        <v>520</v>
      </c>
      <c r="C82" s="69" t="s">
        <v>132</v>
      </c>
      <c r="D82" s="69">
        <v>2.27</v>
      </c>
      <c r="E82" s="77"/>
      <c r="F82" s="69" t="s">
        <v>17</v>
      </c>
      <c r="H82" s="70"/>
      <c r="I82" s="70"/>
      <c r="J82" s="70"/>
      <c r="K82" s="70"/>
      <c r="L82" s="70"/>
      <c r="M82" s="70"/>
      <c r="N82" s="73" t="s">
        <v>316</v>
      </c>
      <c r="AA82" s="78" t="s">
        <v>557</v>
      </c>
    </row>
    <row r="83" spans="1:27" ht="63.75" customHeight="1">
      <c r="A83" s="75" t="s">
        <v>133</v>
      </c>
      <c r="B83" s="76">
        <v>522</v>
      </c>
      <c r="C83" s="69" t="s">
        <v>132</v>
      </c>
      <c r="D83" s="69">
        <v>2.09</v>
      </c>
      <c r="E83" s="69" t="s">
        <v>761</v>
      </c>
      <c r="F83" s="79" t="s">
        <v>18</v>
      </c>
      <c r="H83" s="70">
        <v>0.97</v>
      </c>
      <c r="I83" s="70">
        <v>0.97</v>
      </c>
      <c r="J83" s="70">
        <v>1</v>
      </c>
      <c r="K83" s="70" t="s">
        <v>40</v>
      </c>
      <c r="L83" s="70">
        <v>400</v>
      </c>
      <c r="M83" s="70">
        <v>2015</v>
      </c>
      <c r="N83" s="73" t="s">
        <v>317</v>
      </c>
      <c r="AA83" s="78" t="s">
        <v>558</v>
      </c>
    </row>
    <row r="84" spans="1:27" ht="63.75" customHeight="1">
      <c r="A84" s="75" t="s">
        <v>134</v>
      </c>
      <c r="B84" s="76">
        <v>525</v>
      </c>
      <c r="C84" s="69" t="s">
        <v>132</v>
      </c>
      <c r="D84" s="69">
        <v>1.94</v>
      </c>
      <c r="E84" s="77"/>
      <c r="F84" s="69" t="s">
        <v>17</v>
      </c>
      <c r="H84" s="70"/>
      <c r="I84" s="70"/>
      <c r="J84" s="70"/>
      <c r="K84" s="70"/>
      <c r="L84" s="70"/>
      <c r="M84" s="70"/>
      <c r="N84" s="73" t="s">
        <v>318</v>
      </c>
      <c r="AA84" s="78" t="s">
        <v>559</v>
      </c>
    </row>
    <row r="85" spans="1:27" ht="63.75" customHeight="1">
      <c r="A85" s="75" t="s">
        <v>135</v>
      </c>
      <c r="B85" s="76">
        <v>528</v>
      </c>
      <c r="C85" s="69" t="s">
        <v>689</v>
      </c>
      <c r="D85" s="69">
        <v>14.37</v>
      </c>
      <c r="E85" s="69" t="s">
        <v>762</v>
      </c>
      <c r="F85" s="79" t="s">
        <v>18</v>
      </c>
      <c r="H85" s="70">
        <v>14.72</v>
      </c>
      <c r="I85" s="70">
        <v>-6.6</v>
      </c>
      <c r="J85" s="70">
        <v>1</v>
      </c>
      <c r="K85" s="70" t="s">
        <v>31</v>
      </c>
      <c r="L85" s="70">
        <v>3.16</v>
      </c>
      <c r="M85" s="70">
        <v>43.15</v>
      </c>
      <c r="N85" s="73" t="s">
        <v>319</v>
      </c>
      <c r="AA85" s="78" t="s">
        <v>560</v>
      </c>
    </row>
    <row r="86" spans="1:27" ht="63.75" customHeight="1">
      <c r="A86" s="75" t="s">
        <v>136</v>
      </c>
      <c r="B86" s="76">
        <v>530</v>
      </c>
      <c r="C86" s="69" t="s">
        <v>132</v>
      </c>
      <c r="D86" s="69">
        <v>4.1100000000000003</v>
      </c>
      <c r="E86" s="77"/>
      <c r="F86" s="69" t="s">
        <v>17</v>
      </c>
      <c r="G86" s="69" t="s">
        <v>50</v>
      </c>
      <c r="H86" s="70"/>
      <c r="I86" s="70"/>
      <c r="J86" s="70"/>
      <c r="K86" s="70"/>
      <c r="L86" s="70"/>
      <c r="M86" s="70"/>
      <c r="N86" s="73" t="s">
        <v>320</v>
      </c>
      <c r="AA86" s="78" t="s">
        <v>561</v>
      </c>
    </row>
    <row r="87" spans="1:27" ht="63.75" customHeight="1">
      <c r="A87" s="75" t="s">
        <v>137</v>
      </c>
      <c r="B87" s="76">
        <v>532</v>
      </c>
      <c r="C87" s="69" t="s">
        <v>132</v>
      </c>
      <c r="D87" s="69">
        <v>1.74</v>
      </c>
      <c r="E87" s="77"/>
      <c r="F87" s="69" t="s">
        <v>17</v>
      </c>
      <c r="G87" s="69" t="s">
        <v>50</v>
      </c>
      <c r="H87" s="70"/>
      <c r="I87" s="70"/>
      <c r="J87" s="70"/>
      <c r="K87" s="70"/>
      <c r="L87" s="70"/>
      <c r="M87" s="70"/>
      <c r="N87" s="73" t="s">
        <v>321</v>
      </c>
      <c r="AA87" s="78" t="s">
        <v>562</v>
      </c>
    </row>
    <row r="88" spans="1:27" ht="63.75" customHeight="1">
      <c r="A88" s="75" t="s">
        <v>138</v>
      </c>
      <c r="B88" s="76">
        <v>534</v>
      </c>
      <c r="C88" s="69" t="s">
        <v>132</v>
      </c>
      <c r="D88" s="69">
        <v>2.17</v>
      </c>
      <c r="E88" s="77"/>
      <c r="F88" s="69" t="s">
        <v>17</v>
      </c>
      <c r="H88" s="70"/>
      <c r="I88" s="70"/>
      <c r="J88" s="70"/>
      <c r="K88" s="70"/>
      <c r="L88" s="70"/>
      <c r="M88" s="70"/>
      <c r="N88" s="73" t="s">
        <v>322</v>
      </c>
      <c r="AA88" s="78" t="s">
        <v>563</v>
      </c>
    </row>
    <row r="89" spans="1:27" ht="63.75" customHeight="1">
      <c r="A89" s="75" t="s">
        <v>139</v>
      </c>
      <c r="B89" s="76">
        <v>536</v>
      </c>
      <c r="C89" s="69" t="s">
        <v>132</v>
      </c>
      <c r="D89" s="69">
        <v>1.85</v>
      </c>
      <c r="E89" s="77"/>
      <c r="F89" s="69" t="s">
        <v>17</v>
      </c>
      <c r="G89" s="69" t="s">
        <v>50</v>
      </c>
      <c r="H89" s="70"/>
      <c r="I89" s="70"/>
      <c r="J89" s="70"/>
      <c r="K89" s="70"/>
      <c r="L89" s="70"/>
      <c r="M89" s="70"/>
      <c r="N89" s="73" t="s">
        <v>323</v>
      </c>
      <c r="AA89" s="78" t="s">
        <v>564</v>
      </c>
    </row>
    <row r="90" spans="1:27" ht="63.75" customHeight="1">
      <c r="A90" s="75" t="s">
        <v>140</v>
      </c>
      <c r="B90" s="76">
        <v>538</v>
      </c>
      <c r="C90" s="69" t="s">
        <v>132</v>
      </c>
      <c r="D90" s="69">
        <v>6</v>
      </c>
      <c r="E90" s="69" t="s">
        <v>763</v>
      </c>
      <c r="F90" s="79" t="s">
        <v>18</v>
      </c>
      <c r="G90" s="69" t="s">
        <v>472</v>
      </c>
      <c r="H90" s="70">
        <v>0.82</v>
      </c>
      <c r="I90" s="70">
        <v>-225.96</v>
      </c>
      <c r="J90" s="70">
        <v>10</v>
      </c>
      <c r="K90" s="70" t="s">
        <v>31</v>
      </c>
      <c r="L90" s="70">
        <v>141</v>
      </c>
      <c r="M90" s="70">
        <v>1940</v>
      </c>
      <c r="N90" s="73" t="s">
        <v>324</v>
      </c>
      <c r="AA90" s="78" t="s">
        <v>565</v>
      </c>
    </row>
    <row r="91" spans="1:27" ht="63.75" customHeight="1">
      <c r="A91" s="75" t="s">
        <v>764</v>
      </c>
      <c r="B91" s="76" t="s">
        <v>765</v>
      </c>
      <c r="C91" s="69" t="s">
        <v>132</v>
      </c>
      <c r="D91" s="69">
        <v>5.5</v>
      </c>
      <c r="E91" s="77"/>
      <c r="F91" s="69" t="s">
        <v>17</v>
      </c>
      <c r="H91" s="70"/>
      <c r="I91" s="70"/>
      <c r="J91" s="70"/>
      <c r="K91" s="70"/>
      <c r="L91" s="70"/>
      <c r="M91" s="70"/>
      <c r="N91" s="73" t="s">
        <v>325</v>
      </c>
      <c r="AA91" s="78" t="s">
        <v>766</v>
      </c>
    </row>
    <row r="92" spans="1:27" ht="63.75" customHeight="1">
      <c r="A92" s="75" t="s">
        <v>141</v>
      </c>
      <c r="B92" s="76">
        <v>540</v>
      </c>
      <c r="C92" s="69" t="s">
        <v>132</v>
      </c>
      <c r="D92" s="69">
        <v>1.1499999999999999</v>
      </c>
      <c r="E92" s="69" t="s">
        <v>142</v>
      </c>
      <c r="F92" s="69" t="s">
        <v>17</v>
      </c>
      <c r="H92" s="70">
        <v>0.67</v>
      </c>
      <c r="I92" s="70">
        <v>3.27</v>
      </c>
      <c r="J92" s="70">
        <v>1</v>
      </c>
      <c r="K92" s="70" t="s">
        <v>40</v>
      </c>
      <c r="L92" s="70">
        <v>893</v>
      </c>
      <c r="M92" s="70">
        <v>26995</v>
      </c>
      <c r="N92" s="73" t="s">
        <v>326</v>
      </c>
      <c r="AA92" s="78" t="s">
        <v>566</v>
      </c>
    </row>
    <row r="93" spans="1:27" ht="63.75" customHeight="1">
      <c r="A93" s="75" t="s">
        <v>143</v>
      </c>
      <c r="B93" s="76">
        <v>550</v>
      </c>
      <c r="C93" s="69" t="s">
        <v>132</v>
      </c>
      <c r="D93" s="69">
        <v>1.46</v>
      </c>
      <c r="E93" s="69" t="s">
        <v>767</v>
      </c>
      <c r="F93" s="79" t="s">
        <v>18</v>
      </c>
      <c r="H93" s="70">
        <v>1.42</v>
      </c>
      <c r="I93" s="70">
        <v>454.2</v>
      </c>
      <c r="J93" s="70">
        <v>1</v>
      </c>
      <c r="K93" s="70" t="s">
        <v>31</v>
      </c>
      <c r="L93" s="70">
        <v>1200</v>
      </c>
      <c r="M93" s="70">
        <v>27344</v>
      </c>
      <c r="N93" s="73" t="s">
        <v>327</v>
      </c>
      <c r="AA93" s="78" t="s">
        <v>567</v>
      </c>
    </row>
    <row r="94" spans="1:27" ht="63.75" customHeight="1">
      <c r="A94" s="75" t="s">
        <v>144</v>
      </c>
      <c r="B94" s="76">
        <v>560</v>
      </c>
      <c r="C94" s="69" t="s">
        <v>689</v>
      </c>
      <c r="D94" s="69">
        <v>6.78</v>
      </c>
      <c r="E94" s="77"/>
      <c r="F94" s="69" t="s">
        <v>17</v>
      </c>
      <c r="H94" s="70"/>
      <c r="I94" s="70"/>
      <c r="J94" s="70"/>
      <c r="K94" s="70"/>
      <c r="L94" s="70"/>
      <c r="M94" s="70"/>
      <c r="N94" s="73" t="s">
        <v>328</v>
      </c>
      <c r="AA94" s="78" t="s">
        <v>568</v>
      </c>
    </row>
    <row r="95" spans="1:27" ht="63.75" customHeight="1">
      <c r="A95" s="75" t="s">
        <v>145</v>
      </c>
      <c r="B95" s="76">
        <v>561</v>
      </c>
      <c r="C95" s="69" t="s">
        <v>689</v>
      </c>
      <c r="D95" s="69">
        <f>2.92*10</f>
        <v>29.2</v>
      </c>
      <c r="E95" s="77"/>
      <c r="F95" s="69" t="s">
        <v>17</v>
      </c>
      <c r="G95" s="69" t="s">
        <v>474</v>
      </c>
      <c r="H95" s="70"/>
      <c r="I95" s="70"/>
      <c r="J95" s="70"/>
      <c r="K95" s="70"/>
      <c r="L95" s="70"/>
      <c r="M95" s="70"/>
      <c r="N95" s="73" t="s">
        <v>701</v>
      </c>
      <c r="AA95" s="78" t="s">
        <v>568</v>
      </c>
    </row>
    <row r="96" spans="1:27" ht="63.75" customHeight="1">
      <c r="A96" s="75" t="s">
        <v>146</v>
      </c>
      <c r="B96" s="76">
        <v>562</v>
      </c>
      <c r="C96" s="69" t="s">
        <v>689</v>
      </c>
      <c r="D96" s="69">
        <f>4.22*10</f>
        <v>42.199999999999996</v>
      </c>
      <c r="E96" s="77"/>
      <c r="F96" s="69" t="s">
        <v>17</v>
      </c>
      <c r="G96" s="69" t="s">
        <v>474</v>
      </c>
      <c r="H96" s="70"/>
      <c r="I96" s="70"/>
      <c r="J96" s="70"/>
      <c r="K96" s="70"/>
      <c r="L96" s="70"/>
      <c r="M96" s="70"/>
      <c r="N96" s="73" t="s">
        <v>329</v>
      </c>
      <c r="AA96" s="78" t="s">
        <v>568</v>
      </c>
    </row>
    <row r="97" spans="1:27" ht="63.75" customHeight="1">
      <c r="A97" s="75" t="s">
        <v>147</v>
      </c>
      <c r="B97" s="76">
        <v>565</v>
      </c>
      <c r="C97" s="69" t="s">
        <v>689</v>
      </c>
      <c r="D97" s="69">
        <v>39.299999999999997</v>
      </c>
      <c r="E97" s="77"/>
      <c r="F97" s="69" t="s">
        <v>17</v>
      </c>
      <c r="H97" s="70"/>
      <c r="I97" s="70"/>
      <c r="J97" s="70"/>
      <c r="K97" s="70"/>
      <c r="L97" s="70"/>
      <c r="M97" s="70"/>
      <c r="N97" s="73" t="s">
        <v>330</v>
      </c>
      <c r="AA97" s="78" t="s">
        <v>569</v>
      </c>
    </row>
    <row r="98" spans="1:27" ht="63.75" customHeight="1">
      <c r="A98" s="75" t="s">
        <v>148</v>
      </c>
      <c r="B98" s="76">
        <v>566</v>
      </c>
      <c r="C98" s="69" t="s">
        <v>90</v>
      </c>
      <c r="D98" s="69">
        <v>6.02</v>
      </c>
      <c r="E98" s="69" t="s">
        <v>149</v>
      </c>
      <c r="F98" s="69" t="s">
        <v>17</v>
      </c>
      <c r="H98" s="70">
        <v>4.6500000000000004</v>
      </c>
      <c r="I98" s="70">
        <v>70.83</v>
      </c>
      <c r="J98" s="70">
        <v>1</v>
      </c>
      <c r="K98" s="70" t="s">
        <v>31</v>
      </c>
      <c r="L98" s="70">
        <v>18</v>
      </c>
      <c r="M98" s="70">
        <v>107</v>
      </c>
      <c r="N98" s="73" t="s">
        <v>331</v>
      </c>
      <c r="AA98" s="78" t="s">
        <v>570</v>
      </c>
    </row>
    <row r="99" spans="1:27" ht="63.75" customHeight="1">
      <c r="A99" s="75" t="s">
        <v>150</v>
      </c>
      <c r="B99" s="76">
        <v>571</v>
      </c>
      <c r="C99" s="69" t="s">
        <v>768</v>
      </c>
      <c r="D99" s="69">
        <v>0.98</v>
      </c>
      <c r="E99" s="77"/>
      <c r="F99" s="69" t="s">
        <v>17</v>
      </c>
      <c r="G99" s="69" t="s">
        <v>50</v>
      </c>
      <c r="H99" s="70"/>
      <c r="I99" s="70"/>
      <c r="J99" s="70"/>
      <c r="K99" s="70"/>
      <c r="L99" s="70"/>
      <c r="M99" s="70"/>
      <c r="N99" s="73" t="s">
        <v>332</v>
      </c>
      <c r="AA99" s="78" t="s">
        <v>571</v>
      </c>
    </row>
    <row r="100" spans="1:27" ht="63.75" customHeight="1">
      <c r="A100" s="75" t="s">
        <v>151</v>
      </c>
      <c r="B100" s="76">
        <v>575</v>
      </c>
      <c r="C100" s="69" t="s">
        <v>689</v>
      </c>
      <c r="D100" s="69">
        <f>0.48*10</f>
        <v>4.8</v>
      </c>
      <c r="E100" s="77"/>
      <c r="F100" s="69" t="s">
        <v>17</v>
      </c>
      <c r="G100" s="69" t="s">
        <v>472</v>
      </c>
      <c r="H100" s="70"/>
      <c r="I100" s="70"/>
      <c r="J100" s="70"/>
      <c r="K100" s="70"/>
      <c r="L100" s="70"/>
      <c r="M100" s="70"/>
      <c r="N100" s="73" t="s">
        <v>333</v>
      </c>
      <c r="AA100" s="78" t="s">
        <v>572</v>
      </c>
    </row>
    <row r="101" spans="1:27" ht="63.75" customHeight="1">
      <c r="A101" s="75" t="s">
        <v>152</v>
      </c>
      <c r="B101" s="76">
        <v>580</v>
      </c>
      <c r="C101" s="69" t="s">
        <v>689</v>
      </c>
      <c r="D101" s="69">
        <v>2.8</v>
      </c>
      <c r="E101" s="77"/>
      <c r="F101" s="69" t="s">
        <v>17</v>
      </c>
      <c r="G101" s="69" t="s">
        <v>749</v>
      </c>
      <c r="H101" s="70"/>
      <c r="I101" s="70"/>
      <c r="J101" s="70"/>
      <c r="K101" s="70"/>
      <c r="L101" s="70"/>
      <c r="M101" s="70"/>
      <c r="N101" s="73" t="s">
        <v>334</v>
      </c>
      <c r="AA101" s="78" t="s">
        <v>573</v>
      </c>
    </row>
    <row r="102" spans="1:27" ht="63.75" customHeight="1">
      <c r="A102" s="75" t="s">
        <v>153</v>
      </c>
      <c r="B102" s="76">
        <v>590</v>
      </c>
      <c r="C102" s="69" t="s">
        <v>689</v>
      </c>
      <c r="D102" s="69">
        <v>72.05</v>
      </c>
      <c r="E102" s="69" t="s">
        <v>154</v>
      </c>
      <c r="F102" s="79" t="s">
        <v>18</v>
      </c>
      <c r="H102" s="70">
        <v>0.99</v>
      </c>
      <c r="I102" s="70">
        <v>4.28</v>
      </c>
      <c r="J102" s="70">
        <v>1</v>
      </c>
      <c r="K102" s="70" t="s">
        <v>40</v>
      </c>
      <c r="L102" s="70">
        <v>4</v>
      </c>
      <c r="M102" s="70">
        <v>22.5</v>
      </c>
      <c r="N102" s="73" t="s">
        <v>335</v>
      </c>
      <c r="AA102" s="78" t="s">
        <v>574</v>
      </c>
    </row>
    <row r="103" spans="1:27" ht="63.75" customHeight="1">
      <c r="A103" s="80"/>
      <c r="B103" s="72" t="s">
        <v>155</v>
      </c>
      <c r="C103" s="69" t="s">
        <v>37</v>
      </c>
      <c r="H103" s="70"/>
      <c r="I103" s="70"/>
      <c r="J103" s="70"/>
      <c r="K103" s="70"/>
      <c r="L103" s="70"/>
      <c r="M103" s="70"/>
      <c r="N103" s="73" t="s">
        <v>336</v>
      </c>
      <c r="AA103" s="69"/>
    </row>
    <row r="104" spans="1:27" ht="63.75" customHeight="1">
      <c r="A104" s="75" t="s">
        <v>156</v>
      </c>
      <c r="B104" s="76">
        <v>610</v>
      </c>
      <c r="C104" s="69" t="s">
        <v>689</v>
      </c>
      <c r="D104" s="69">
        <v>10.7</v>
      </c>
      <c r="E104" s="69" t="s">
        <v>769</v>
      </c>
      <c r="F104" s="69" t="s">
        <v>17</v>
      </c>
      <c r="H104" s="70">
        <v>4.5999999999999996</v>
      </c>
      <c r="I104" s="70">
        <v>4385.42</v>
      </c>
      <c r="J104" s="70">
        <v>1</v>
      </c>
      <c r="K104" s="70" t="s">
        <v>31</v>
      </c>
      <c r="L104" s="70">
        <v>104</v>
      </c>
      <c r="M104" s="70">
        <v>1777.98</v>
      </c>
      <c r="N104" s="73" t="s">
        <v>337</v>
      </c>
      <c r="AA104" s="78" t="s">
        <v>495</v>
      </c>
    </row>
    <row r="105" spans="1:27" ht="63.75" customHeight="1">
      <c r="A105" s="75" t="s">
        <v>157</v>
      </c>
      <c r="B105" s="76">
        <v>620</v>
      </c>
      <c r="C105" s="69" t="s">
        <v>689</v>
      </c>
      <c r="D105" s="69">
        <v>6.75</v>
      </c>
      <c r="E105" s="69" t="s">
        <v>158</v>
      </c>
      <c r="F105" s="69" t="s">
        <v>17</v>
      </c>
      <c r="H105" s="70">
        <v>0.85</v>
      </c>
      <c r="I105" s="70">
        <v>2.4500000000000002</v>
      </c>
      <c r="J105" s="70">
        <v>1</v>
      </c>
      <c r="K105" s="70" t="s">
        <v>40</v>
      </c>
      <c r="L105" s="70">
        <v>18.690000000000001</v>
      </c>
      <c r="M105" s="70">
        <v>128</v>
      </c>
      <c r="N105" s="73" t="s">
        <v>338</v>
      </c>
      <c r="AA105" s="78" t="s">
        <v>770</v>
      </c>
    </row>
    <row r="106" spans="1:27" ht="63.75" customHeight="1">
      <c r="A106" s="75" t="s">
        <v>771</v>
      </c>
      <c r="B106" s="76">
        <v>630</v>
      </c>
      <c r="C106" s="69" t="s">
        <v>689</v>
      </c>
      <c r="D106" s="69">
        <v>37.6</v>
      </c>
      <c r="E106" s="69" t="s">
        <v>476</v>
      </c>
      <c r="F106" s="79" t="s">
        <v>18</v>
      </c>
      <c r="H106" s="70">
        <v>35.86</v>
      </c>
      <c r="I106" s="70">
        <v>34.880000000000003</v>
      </c>
      <c r="J106" s="70">
        <v>1</v>
      </c>
      <c r="K106" s="70" t="s">
        <v>31</v>
      </c>
      <c r="L106" s="70">
        <v>1.5</v>
      </c>
      <c r="M106" s="70">
        <v>63.93</v>
      </c>
      <c r="N106" s="73" t="s">
        <v>339</v>
      </c>
      <c r="AA106" s="78" t="s">
        <v>494</v>
      </c>
    </row>
    <row r="107" spans="1:27" ht="63.75" customHeight="1">
      <c r="A107" s="75" t="s">
        <v>159</v>
      </c>
      <c r="B107" s="76">
        <v>640</v>
      </c>
      <c r="C107" s="69" t="s">
        <v>689</v>
      </c>
      <c r="D107" s="69">
        <v>21.5</v>
      </c>
      <c r="E107" s="77"/>
      <c r="F107" s="69" t="s">
        <v>17</v>
      </c>
      <c r="G107" s="69" t="s">
        <v>50</v>
      </c>
      <c r="H107" s="70"/>
      <c r="I107" s="70"/>
      <c r="J107" s="70"/>
      <c r="K107" s="70"/>
      <c r="L107" s="70"/>
      <c r="M107" s="70"/>
      <c r="N107" s="73" t="s">
        <v>340</v>
      </c>
      <c r="AA107" s="78" t="s">
        <v>575</v>
      </c>
    </row>
    <row r="108" spans="1:27" ht="63.75" customHeight="1">
      <c r="A108" s="75" t="s">
        <v>160</v>
      </c>
      <c r="B108" s="76">
        <v>650</v>
      </c>
      <c r="C108" s="69" t="s">
        <v>689</v>
      </c>
      <c r="D108" s="69">
        <v>24.94</v>
      </c>
      <c r="E108" s="77"/>
      <c r="F108" s="69" t="s">
        <v>17</v>
      </c>
      <c r="H108" s="70"/>
      <c r="I108" s="70"/>
      <c r="J108" s="70"/>
      <c r="K108" s="70"/>
      <c r="L108" s="70"/>
      <c r="M108" s="70"/>
      <c r="N108" s="73" t="s">
        <v>341</v>
      </c>
      <c r="AA108" s="78" t="s">
        <v>576</v>
      </c>
    </row>
    <row r="109" spans="1:27" ht="63.75" customHeight="1">
      <c r="A109" s="80"/>
      <c r="B109" s="72" t="s">
        <v>161</v>
      </c>
      <c r="C109" s="69" t="s">
        <v>37</v>
      </c>
      <c r="H109" s="70"/>
      <c r="I109" s="70"/>
      <c r="J109" s="70"/>
      <c r="K109" s="70"/>
      <c r="L109" s="70"/>
      <c r="M109" s="70"/>
      <c r="N109" s="73" t="s">
        <v>342</v>
      </c>
      <c r="AA109" s="69"/>
    </row>
    <row r="110" spans="1:27" ht="63.75" customHeight="1">
      <c r="A110" s="75" t="s">
        <v>162</v>
      </c>
      <c r="B110" s="76">
        <v>710</v>
      </c>
      <c r="C110" s="69" t="s">
        <v>689</v>
      </c>
      <c r="D110" s="69">
        <v>7.83</v>
      </c>
      <c r="E110" s="69" t="s">
        <v>772</v>
      </c>
      <c r="F110" s="79" t="s">
        <v>18</v>
      </c>
      <c r="H110" s="70">
        <v>6.18</v>
      </c>
      <c r="I110" s="70">
        <v>207.96</v>
      </c>
      <c r="J110" s="70">
        <v>1</v>
      </c>
      <c r="K110" s="70" t="s">
        <v>31</v>
      </c>
      <c r="L110" s="70">
        <v>14.36</v>
      </c>
      <c r="M110" s="70">
        <v>557</v>
      </c>
      <c r="N110" s="73" t="s">
        <v>343</v>
      </c>
      <c r="AA110" s="78" t="s">
        <v>577</v>
      </c>
    </row>
    <row r="111" spans="1:27" ht="63.75" customHeight="1">
      <c r="A111" s="75" t="s">
        <v>163</v>
      </c>
      <c r="B111" s="76">
        <v>712</v>
      </c>
      <c r="C111" s="69" t="s">
        <v>689</v>
      </c>
      <c r="D111" s="69">
        <v>14.39</v>
      </c>
      <c r="E111" s="77"/>
      <c r="F111" s="69" t="s">
        <v>17</v>
      </c>
      <c r="G111" s="69" t="s">
        <v>50</v>
      </c>
      <c r="H111" s="70"/>
      <c r="I111" s="70"/>
      <c r="J111" s="70"/>
      <c r="K111" s="70"/>
      <c r="L111" s="70"/>
      <c r="M111" s="70"/>
      <c r="N111" s="73" t="s">
        <v>344</v>
      </c>
      <c r="AA111" s="78" t="s">
        <v>578</v>
      </c>
    </row>
    <row r="112" spans="1:27" ht="63.75" customHeight="1">
      <c r="A112" s="75" t="s">
        <v>164</v>
      </c>
      <c r="B112" s="76">
        <v>714</v>
      </c>
      <c r="C112" s="69" t="s">
        <v>689</v>
      </c>
      <c r="D112" s="69">
        <v>11.17</v>
      </c>
      <c r="E112" s="77"/>
      <c r="F112" s="69" t="s">
        <v>17</v>
      </c>
      <c r="H112" s="70"/>
      <c r="I112" s="70"/>
      <c r="J112" s="70"/>
      <c r="K112" s="70"/>
      <c r="L112" s="70"/>
      <c r="M112" s="70"/>
      <c r="N112" s="73" t="s">
        <v>345</v>
      </c>
      <c r="AA112" s="78" t="s">
        <v>579</v>
      </c>
    </row>
    <row r="113" spans="1:27" ht="63.75" customHeight="1">
      <c r="A113" s="75" t="s">
        <v>165</v>
      </c>
      <c r="B113" s="76">
        <v>715</v>
      </c>
      <c r="C113" s="69" t="s">
        <v>689</v>
      </c>
      <c r="D113" s="69">
        <v>12.3</v>
      </c>
      <c r="E113" s="77"/>
      <c r="F113" s="69" t="s">
        <v>17</v>
      </c>
      <c r="H113" s="70"/>
      <c r="I113" s="70"/>
      <c r="J113" s="70"/>
      <c r="K113" s="70"/>
      <c r="L113" s="70"/>
      <c r="M113" s="70"/>
      <c r="N113" s="73" t="s">
        <v>346</v>
      </c>
      <c r="AA113" s="78" t="s">
        <v>580</v>
      </c>
    </row>
    <row r="114" spans="1:27" ht="63.75" customHeight="1">
      <c r="A114" s="75" t="s">
        <v>166</v>
      </c>
      <c r="B114" s="76">
        <v>720</v>
      </c>
      <c r="C114" s="69" t="s">
        <v>689</v>
      </c>
      <c r="D114" s="69">
        <v>34.03</v>
      </c>
      <c r="E114" s="69" t="s">
        <v>773</v>
      </c>
      <c r="F114" s="79" t="s">
        <v>18</v>
      </c>
      <c r="H114" s="70">
        <v>40.6</v>
      </c>
      <c r="I114" s="70">
        <v>-75.150000000000006</v>
      </c>
      <c r="J114" s="70">
        <v>1</v>
      </c>
      <c r="K114" s="70" t="s">
        <v>31</v>
      </c>
      <c r="L114" s="70">
        <v>1.58</v>
      </c>
      <c r="M114" s="70">
        <v>60</v>
      </c>
      <c r="N114" s="73" t="s">
        <v>347</v>
      </c>
      <c r="AA114" s="78" t="s">
        <v>581</v>
      </c>
    </row>
    <row r="115" spans="1:27" ht="63.75" customHeight="1">
      <c r="A115" s="75" t="s">
        <v>167</v>
      </c>
      <c r="B115" s="76">
        <v>730</v>
      </c>
      <c r="C115" s="69" t="s">
        <v>689</v>
      </c>
      <c r="D115" s="69">
        <v>22.59</v>
      </c>
      <c r="E115" s="77"/>
      <c r="F115" s="69" t="s">
        <v>17</v>
      </c>
      <c r="G115" s="69" t="s">
        <v>50</v>
      </c>
      <c r="H115" s="70"/>
      <c r="I115" s="70"/>
      <c r="J115" s="70"/>
      <c r="K115" s="70"/>
      <c r="L115" s="70"/>
      <c r="M115" s="70"/>
      <c r="N115" s="73" t="s">
        <v>348</v>
      </c>
      <c r="AA115" s="78" t="s">
        <v>582</v>
      </c>
    </row>
    <row r="116" spans="1:27" ht="63.75" customHeight="1">
      <c r="A116" s="75" t="s">
        <v>168</v>
      </c>
      <c r="B116" s="76">
        <v>731</v>
      </c>
      <c r="C116" s="69" t="s">
        <v>689</v>
      </c>
      <c r="D116" s="69">
        <v>11.21</v>
      </c>
      <c r="E116" s="77"/>
      <c r="F116" s="69" t="s">
        <v>17</v>
      </c>
      <c r="G116" s="69" t="s">
        <v>50</v>
      </c>
      <c r="H116" s="70"/>
      <c r="I116" s="70"/>
      <c r="J116" s="70"/>
      <c r="K116" s="70"/>
      <c r="L116" s="70"/>
      <c r="M116" s="70"/>
      <c r="N116" s="73" t="s">
        <v>349</v>
      </c>
      <c r="AA116" s="78" t="s">
        <v>583</v>
      </c>
    </row>
    <row r="117" spans="1:27" ht="63.75" customHeight="1">
      <c r="A117" s="75" t="s">
        <v>169</v>
      </c>
      <c r="B117" s="76">
        <v>732</v>
      </c>
      <c r="C117" s="69" t="s">
        <v>689</v>
      </c>
      <c r="D117" s="69">
        <v>319.08</v>
      </c>
      <c r="E117" s="77"/>
      <c r="F117" s="69" t="s">
        <v>17</v>
      </c>
      <c r="G117" s="69" t="s">
        <v>50</v>
      </c>
      <c r="H117" s="70"/>
      <c r="I117" s="70"/>
      <c r="J117" s="70"/>
      <c r="K117" s="70"/>
      <c r="L117" s="70"/>
      <c r="M117" s="70"/>
      <c r="N117" s="73" t="s">
        <v>350</v>
      </c>
      <c r="AA117" s="78" t="s">
        <v>584</v>
      </c>
    </row>
    <row r="118" spans="1:27" ht="63.75" customHeight="1">
      <c r="A118" s="75" t="s">
        <v>170</v>
      </c>
      <c r="B118" s="76">
        <v>750</v>
      </c>
      <c r="C118" s="69" t="s">
        <v>689</v>
      </c>
      <c r="D118" s="69">
        <v>12.1</v>
      </c>
      <c r="E118" s="69" t="s">
        <v>774</v>
      </c>
      <c r="F118" s="69" t="s">
        <v>17</v>
      </c>
      <c r="G118" s="69" t="s">
        <v>472</v>
      </c>
      <c r="H118" s="70">
        <v>1.4</v>
      </c>
      <c r="I118" s="70">
        <v>-251.41</v>
      </c>
      <c r="J118" s="70">
        <v>1</v>
      </c>
      <c r="K118" s="70" t="s">
        <v>31</v>
      </c>
      <c r="L118" s="70">
        <v>328.22</v>
      </c>
      <c r="M118" s="70">
        <v>2408</v>
      </c>
      <c r="N118" s="73" t="s">
        <v>710</v>
      </c>
      <c r="AA118" s="78" t="s">
        <v>585</v>
      </c>
    </row>
    <row r="119" spans="1:27" ht="63.75" customHeight="1">
      <c r="A119" s="75" t="s">
        <v>171</v>
      </c>
      <c r="B119" s="76">
        <v>760</v>
      </c>
      <c r="C119" s="69" t="s">
        <v>689</v>
      </c>
      <c r="D119" s="69">
        <v>9.4700000000000006</v>
      </c>
      <c r="E119" s="77"/>
      <c r="F119" s="69" t="s">
        <v>17</v>
      </c>
      <c r="H119" s="70">
        <v>9.6999999999999993</v>
      </c>
      <c r="I119" s="70">
        <v>247.71</v>
      </c>
      <c r="J119" s="70">
        <v>1</v>
      </c>
      <c r="K119" s="70" t="s">
        <v>31</v>
      </c>
      <c r="L119" s="70">
        <v>22.03</v>
      </c>
      <c r="M119" s="70">
        <v>705.29</v>
      </c>
      <c r="N119" s="73" t="s">
        <v>712</v>
      </c>
      <c r="AA119" s="78" t="s">
        <v>586</v>
      </c>
    </row>
    <row r="120" spans="1:27" ht="63.75" customHeight="1">
      <c r="A120" s="75" t="s">
        <v>172</v>
      </c>
      <c r="B120" s="76">
        <v>770</v>
      </c>
      <c r="C120" s="69" t="s">
        <v>689</v>
      </c>
      <c r="D120" s="69">
        <v>9.9700000000000006</v>
      </c>
      <c r="E120" s="69" t="s">
        <v>775</v>
      </c>
      <c r="F120" s="69" t="s">
        <v>17</v>
      </c>
      <c r="H120" s="70">
        <v>9.9700000000000006</v>
      </c>
      <c r="I120" s="70">
        <v>0.84</v>
      </c>
      <c r="J120" s="70">
        <v>1</v>
      </c>
      <c r="K120" s="70" t="s">
        <v>31</v>
      </c>
      <c r="L120" s="70">
        <v>41.29</v>
      </c>
      <c r="M120" s="70">
        <v>725.05</v>
      </c>
      <c r="N120" s="73" t="s">
        <v>351</v>
      </c>
      <c r="AA120" s="78" t="s">
        <v>587</v>
      </c>
    </row>
    <row r="121" spans="1:27" ht="63.75" customHeight="1">
      <c r="A121" s="80"/>
      <c r="B121" s="72" t="s">
        <v>173</v>
      </c>
      <c r="C121" s="69" t="s">
        <v>37</v>
      </c>
      <c r="H121" s="70"/>
      <c r="I121" s="70"/>
      <c r="J121" s="70"/>
      <c r="K121" s="70"/>
      <c r="L121" s="70"/>
      <c r="M121" s="70"/>
      <c r="N121" s="73" t="s">
        <v>352</v>
      </c>
      <c r="AA121" s="74"/>
    </row>
    <row r="122" spans="1:27" ht="63.75" customHeight="1">
      <c r="A122" s="75" t="s">
        <v>174</v>
      </c>
      <c r="B122" s="76">
        <v>810</v>
      </c>
      <c r="C122" s="69" t="s">
        <v>689</v>
      </c>
      <c r="D122" s="69">
        <v>14</v>
      </c>
      <c r="E122" s="77"/>
      <c r="F122" s="69" t="s">
        <v>17</v>
      </c>
      <c r="G122" s="69" t="s">
        <v>472</v>
      </c>
      <c r="H122" s="70"/>
      <c r="I122" s="70"/>
      <c r="J122" s="70"/>
      <c r="K122" s="70"/>
      <c r="L122" s="70"/>
      <c r="M122" s="70"/>
      <c r="N122" s="73" t="s">
        <v>353</v>
      </c>
      <c r="AA122" s="78" t="s">
        <v>588</v>
      </c>
    </row>
    <row r="123" spans="1:27" ht="63.75" customHeight="1">
      <c r="A123" s="75" t="s">
        <v>175</v>
      </c>
      <c r="B123" s="76">
        <v>811</v>
      </c>
      <c r="C123" s="69" t="s">
        <v>689</v>
      </c>
      <c r="D123" s="69">
        <v>9.9</v>
      </c>
      <c r="E123" s="77"/>
      <c r="F123" s="69" t="s">
        <v>17</v>
      </c>
      <c r="G123" s="69" t="s">
        <v>472</v>
      </c>
      <c r="H123" s="70"/>
      <c r="I123" s="70"/>
      <c r="J123" s="70"/>
      <c r="K123" s="70"/>
      <c r="L123" s="70"/>
      <c r="M123" s="70"/>
      <c r="N123" s="73" t="s">
        <v>354</v>
      </c>
      <c r="AA123" s="78" t="s">
        <v>589</v>
      </c>
    </row>
    <row r="124" spans="1:27" ht="63.75" customHeight="1">
      <c r="A124" s="75" t="s">
        <v>176</v>
      </c>
      <c r="B124" s="76">
        <v>812</v>
      </c>
      <c r="C124" s="69" t="s">
        <v>689</v>
      </c>
      <c r="D124" s="69">
        <v>11.7</v>
      </c>
      <c r="E124" s="77"/>
      <c r="F124" s="69" t="s">
        <v>17</v>
      </c>
      <c r="G124" s="69" t="s">
        <v>50</v>
      </c>
      <c r="H124" s="70"/>
      <c r="I124" s="70"/>
      <c r="J124" s="70"/>
      <c r="K124" s="70"/>
      <c r="L124" s="70"/>
      <c r="M124" s="70"/>
      <c r="N124" s="73" t="s">
        <v>355</v>
      </c>
      <c r="AA124" s="78" t="s">
        <v>590</v>
      </c>
    </row>
    <row r="125" spans="1:27" ht="63.75" customHeight="1">
      <c r="A125" s="75" t="s">
        <v>177</v>
      </c>
      <c r="B125" s="76">
        <v>813</v>
      </c>
      <c r="C125" s="69" t="s">
        <v>689</v>
      </c>
      <c r="D125" s="69">
        <v>50.52</v>
      </c>
      <c r="E125" s="77"/>
      <c r="F125" s="69" t="s">
        <v>17</v>
      </c>
      <c r="H125" s="70"/>
      <c r="I125" s="70"/>
      <c r="J125" s="70"/>
      <c r="K125" s="70"/>
      <c r="L125" s="70"/>
      <c r="M125" s="70"/>
      <c r="N125" s="73" t="s">
        <v>356</v>
      </c>
      <c r="AA125" s="78" t="s">
        <v>490</v>
      </c>
    </row>
    <row r="126" spans="1:27" ht="63.75" customHeight="1">
      <c r="A126" s="75" t="s">
        <v>178</v>
      </c>
      <c r="B126" s="76">
        <v>814</v>
      </c>
      <c r="C126" s="69" t="s">
        <v>689</v>
      </c>
      <c r="D126" s="69">
        <v>63.66</v>
      </c>
      <c r="E126" s="77"/>
      <c r="F126" s="69" t="s">
        <v>17</v>
      </c>
      <c r="H126" s="70"/>
      <c r="I126" s="70"/>
      <c r="J126" s="70"/>
      <c r="K126" s="70"/>
      <c r="L126" s="70"/>
      <c r="M126" s="70"/>
      <c r="N126" s="73" t="s">
        <v>357</v>
      </c>
      <c r="AA126" s="78" t="s">
        <v>591</v>
      </c>
    </row>
    <row r="127" spans="1:27" ht="63.75" customHeight="1">
      <c r="A127" s="75" t="s">
        <v>179</v>
      </c>
      <c r="B127" s="76">
        <v>815</v>
      </c>
      <c r="C127" s="69" t="s">
        <v>689</v>
      </c>
      <c r="D127" s="69">
        <v>53.87</v>
      </c>
      <c r="E127" s="69" t="s">
        <v>180</v>
      </c>
      <c r="F127" s="79" t="s">
        <v>18</v>
      </c>
      <c r="H127" s="70">
        <v>0.77</v>
      </c>
      <c r="I127" s="70">
        <v>5.05</v>
      </c>
      <c r="J127" s="70">
        <v>1</v>
      </c>
      <c r="K127" s="70" t="s">
        <v>40</v>
      </c>
      <c r="L127" s="70">
        <v>17.8</v>
      </c>
      <c r="M127" s="70">
        <v>125.74</v>
      </c>
      <c r="N127" s="73" t="s">
        <v>358</v>
      </c>
      <c r="AA127" s="78" t="s">
        <v>491</v>
      </c>
    </row>
    <row r="128" spans="1:27" ht="63.75" customHeight="1">
      <c r="A128" s="75" t="s">
        <v>181</v>
      </c>
      <c r="B128" s="76">
        <v>816</v>
      </c>
      <c r="C128" s="69" t="s">
        <v>689</v>
      </c>
      <c r="D128" s="69">
        <v>8.07</v>
      </c>
      <c r="E128" s="77"/>
      <c r="F128" s="69" t="s">
        <v>17</v>
      </c>
      <c r="G128" s="69" t="s">
        <v>50</v>
      </c>
      <c r="H128" s="70"/>
      <c r="I128" s="70"/>
      <c r="J128" s="70"/>
      <c r="K128" s="70"/>
      <c r="L128" s="70"/>
      <c r="M128" s="70"/>
      <c r="N128" s="73" t="s">
        <v>359</v>
      </c>
      <c r="AA128" s="78" t="s">
        <v>592</v>
      </c>
    </row>
    <row r="129" spans="1:27" ht="63.75" customHeight="1">
      <c r="A129" s="75" t="s">
        <v>182</v>
      </c>
      <c r="B129" s="76">
        <v>817</v>
      </c>
      <c r="C129" s="69" t="s">
        <v>689</v>
      </c>
      <c r="D129" s="69">
        <v>65.8</v>
      </c>
      <c r="E129" s="77"/>
      <c r="F129" s="69" t="s">
        <v>17</v>
      </c>
      <c r="G129" s="69" t="s">
        <v>749</v>
      </c>
      <c r="H129" s="70"/>
      <c r="I129" s="70"/>
      <c r="J129" s="70"/>
      <c r="K129" s="70"/>
      <c r="L129" s="70"/>
      <c r="M129" s="70"/>
      <c r="N129" s="73" t="s">
        <v>360</v>
      </c>
      <c r="AA129" s="78" t="s">
        <v>593</v>
      </c>
    </row>
    <row r="130" spans="1:27" ht="63.75" customHeight="1">
      <c r="A130" s="75" t="s">
        <v>183</v>
      </c>
      <c r="B130" s="76">
        <v>820</v>
      </c>
      <c r="C130" s="69" t="s">
        <v>689</v>
      </c>
      <c r="D130" s="69">
        <v>36.39</v>
      </c>
      <c r="E130" s="77"/>
      <c r="F130" s="69" t="s">
        <v>17</v>
      </c>
      <c r="H130" s="70"/>
      <c r="I130" s="70"/>
      <c r="J130" s="70"/>
      <c r="K130" s="70"/>
      <c r="L130" s="70"/>
      <c r="M130" s="70"/>
      <c r="N130" s="73" t="s">
        <v>361</v>
      </c>
      <c r="AA130" s="78" t="s">
        <v>594</v>
      </c>
    </row>
    <row r="131" spans="1:27" ht="63.75" customHeight="1">
      <c r="A131" s="75" t="s">
        <v>776</v>
      </c>
      <c r="B131" s="76">
        <v>821</v>
      </c>
      <c r="C131" s="69" t="s">
        <v>689</v>
      </c>
      <c r="D131" s="69">
        <v>101.43</v>
      </c>
      <c r="E131" s="69" t="s">
        <v>777</v>
      </c>
      <c r="F131" s="69" t="s">
        <v>17</v>
      </c>
      <c r="H131" s="70">
        <v>136.41</v>
      </c>
      <c r="I131" s="70">
        <v>-2680.46</v>
      </c>
      <c r="J131" s="70">
        <v>1</v>
      </c>
      <c r="K131" s="70" t="s">
        <v>31</v>
      </c>
      <c r="L131" s="70">
        <v>40</v>
      </c>
      <c r="M131" s="70">
        <v>109.35</v>
      </c>
      <c r="N131" s="73" t="s">
        <v>362</v>
      </c>
      <c r="AA131" s="78" t="s">
        <v>778</v>
      </c>
    </row>
    <row r="132" spans="1:27" ht="63.75" customHeight="1">
      <c r="A132" s="75" t="s">
        <v>779</v>
      </c>
      <c r="B132" s="76">
        <v>821</v>
      </c>
      <c r="C132" s="69" t="s">
        <v>689</v>
      </c>
      <c r="D132" s="69">
        <v>65.38</v>
      </c>
      <c r="E132" s="77"/>
      <c r="F132" s="69" t="s">
        <v>17</v>
      </c>
      <c r="H132" s="70"/>
      <c r="I132" s="70"/>
      <c r="J132" s="70"/>
      <c r="K132" s="70"/>
      <c r="L132" s="70"/>
      <c r="M132" s="70"/>
      <c r="N132" s="73" t="s">
        <v>363</v>
      </c>
      <c r="AA132" s="78" t="s">
        <v>780</v>
      </c>
    </row>
    <row r="133" spans="1:27" ht="63.75" customHeight="1">
      <c r="A133" s="75" t="s">
        <v>184</v>
      </c>
      <c r="B133" s="76">
        <v>822</v>
      </c>
      <c r="C133" s="69" t="s">
        <v>689</v>
      </c>
      <c r="D133" s="69">
        <v>54.45</v>
      </c>
      <c r="E133" s="69" t="s">
        <v>185</v>
      </c>
      <c r="F133" s="79" t="s">
        <v>18</v>
      </c>
      <c r="H133" s="70">
        <v>42.2</v>
      </c>
      <c r="I133" s="70">
        <v>229.68</v>
      </c>
      <c r="J133" s="70">
        <v>1</v>
      </c>
      <c r="K133" s="70" t="s">
        <v>31</v>
      </c>
      <c r="L133" s="70">
        <v>9</v>
      </c>
      <c r="M133" s="70">
        <v>35</v>
      </c>
      <c r="N133" s="73" t="s">
        <v>364</v>
      </c>
      <c r="AA133" s="78" t="s">
        <v>595</v>
      </c>
    </row>
    <row r="134" spans="1:27" ht="63.75" customHeight="1">
      <c r="A134" s="75" t="s">
        <v>186</v>
      </c>
      <c r="B134" s="76">
        <v>823</v>
      </c>
      <c r="C134" s="69" t="s">
        <v>689</v>
      </c>
      <c r="D134" s="69">
        <v>26.59</v>
      </c>
      <c r="E134" s="77"/>
      <c r="F134" s="69" t="s">
        <v>17</v>
      </c>
      <c r="H134" s="70"/>
      <c r="I134" s="70"/>
      <c r="J134" s="70"/>
      <c r="K134" s="70"/>
      <c r="L134" s="70"/>
      <c r="M134" s="70"/>
      <c r="N134" s="73" t="s">
        <v>365</v>
      </c>
      <c r="AA134" s="78" t="s">
        <v>596</v>
      </c>
    </row>
    <row r="135" spans="1:27" ht="63.75" customHeight="1">
      <c r="A135" s="75" t="s">
        <v>187</v>
      </c>
      <c r="B135" s="76">
        <v>840</v>
      </c>
      <c r="C135" s="69" t="s">
        <v>689</v>
      </c>
      <c r="D135" s="69">
        <v>27.84</v>
      </c>
      <c r="E135" s="69" t="s">
        <v>188</v>
      </c>
      <c r="F135" s="79" t="s">
        <v>18</v>
      </c>
      <c r="H135" s="70">
        <v>28.65</v>
      </c>
      <c r="I135" s="70">
        <v>-29.45</v>
      </c>
      <c r="J135" s="70">
        <v>1</v>
      </c>
      <c r="K135" s="70" t="s">
        <v>31</v>
      </c>
      <c r="L135" s="70">
        <v>14.87</v>
      </c>
      <c r="M135" s="70">
        <v>76.790000000000006</v>
      </c>
      <c r="N135" s="73" t="s">
        <v>366</v>
      </c>
      <c r="AA135" s="78" t="s">
        <v>597</v>
      </c>
    </row>
    <row r="136" spans="1:27" ht="63.75" customHeight="1">
      <c r="A136" s="75" t="s">
        <v>189</v>
      </c>
      <c r="B136" s="76">
        <v>841</v>
      </c>
      <c r="C136" s="69" t="s">
        <v>689</v>
      </c>
      <c r="D136" s="69">
        <v>27.06</v>
      </c>
      <c r="E136" s="77"/>
      <c r="F136" s="69" t="s">
        <v>17</v>
      </c>
      <c r="H136" s="70"/>
      <c r="I136" s="70"/>
      <c r="J136" s="70"/>
      <c r="K136" s="70"/>
      <c r="L136" s="70"/>
      <c r="M136" s="70"/>
      <c r="N136" s="73" t="s">
        <v>367</v>
      </c>
      <c r="AA136" s="78" t="s">
        <v>598</v>
      </c>
    </row>
    <row r="137" spans="1:27" ht="63.75" customHeight="1">
      <c r="A137" s="75" t="s">
        <v>190</v>
      </c>
      <c r="B137" s="76">
        <v>842</v>
      </c>
      <c r="C137" s="69" t="s">
        <v>689</v>
      </c>
      <c r="D137" s="69">
        <v>5</v>
      </c>
      <c r="E137" s="77"/>
      <c r="F137" s="69" t="s">
        <v>17</v>
      </c>
      <c r="H137" s="70"/>
      <c r="I137" s="70"/>
      <c r="J137" s="70"/>
      <c r="K137" s="70"/>
      <c r="L137" s="70"/>
      <c r="M137" s="70"/>
      <c r="N137" s="73" t="s">
        <v>368</v>
      </c>
      <c r="AA137" s="78" t="s">
        <v>599</v>
      </c>
    </row>
    <row r="138" spans="1:27" ht="63.75" customHeight="1">
      <c r="A138" s="75" t="s">
        <v>191</v>
      </c>
      <c r="B138" s="76">
        <v>843</v>
      </c>
      <c r="C138" s="69" t="s">
        <v>689</v>
      </c>
      <c r="D138" s="69">
        <v>54.57</v>
      </c>
      <c r="E138" s="69" t="s">
        <v>192</v>
      </c>
      <c r="F138" s="69" t="s">
        <v>17</v>
      </c>
      <c r="H138" s="70">
        <v>71.05</v>
      </c>
      <c r="I138" s="70">
        <v>-127.72</v>
      </c>
      <c r="J138" s="70">
        <v>1</v>
      </c>
      <c r="K138" s="70" t="s">
        <v>31</v>
      </c>
      <c r="L138" s="70">
        <v>4.7</v>
      </c>
      <c r="M138" s="70">
        <v>15</v>
      </c>
      <c r="N138" s="73" t="s">
        <v>369</v>
      </c>
      <c r="AA138" s="78" t="s">
        <v>600</v>
      </c>
    </row>
    <row r="139" spans="1:27" ht="63.75" customHeight="1">
      <c r="A139" s="75" t="s">
        <v>193</v>
      </c>
      <c r="B139" s="76">
        <v>848</v>
      </c>
      <c r="C139" s="69" t="s">
        <v>689</v>
      </c>
      <c r="D139" s="69">
        <v>28.54</v>
      </c>
      <c r="E139" s="77"/>
      <c r="F139" s="69" t="s">
        <v>17</v>
      </c>
      <c r="G139" s="69" t="s">
        <v>50</v>
      </c>
      <c r="H139" s="70"/>
      <c r="I139" s="70"/>
      <c r="J139" s="70"/>
      <c r="K139" s="70"/>
      <c r="L139" s="70"/>
      <c r="M139" s="70"/>
      <c r="N139" s="73" t="s">
        <v>370</v>
      </c>
      <c r="AA139" s="78" t="s">
        <v>601</v>
      </c>
    </row>
    <row r="140" spans="1:27" ht="63.75" customHeight="1">
      <c r="A140" s="75" t="s">
        <v>194</v>
      </c>
      <c r="B140" s="76">
        <v>849</v>
      </c>
      <c r="C140" s="69" t="s">
        <v>689</v>
      </c>
      <c r="D140" s="69">
        <v>20.37</v>
      </c>
      <c r="E140" s="77"/>
      <c r="F140" s="69" t="s">
        <v>17</v>
      </c>
      <c r="H140" s="70"/>
      <c r="I140" s="70"/>
      <c r="J140" s="70"/>
      <c r="K140" s="70"/>
      <c r="L140" s="70"/>
      <c r="M140" s="70"/>
      <c r="N140" s="73" t="s">
        <v>371</v>
      </c>
      <c r="AA140" s="78" t="s">
        <v>602</v>
      </c>
    </row>
    <row r="141" spans="1:27" ht="63.75" customHeight="1">
      <c r="A141" s="75" t="s">
        <v>195</v>
      </c>
      <c r="B141" s="76">
        <v>850</v>
      </c>
      <c r="C141" s="69" t="s">
        <v>689</v>
      </c>
      <c r="D141" s="69">
        <v>92.29</v>
      </c>
      <c r="E141" s="69" t="s">
        <v>781</v>
      </c>
      <c r="F141" s="79" t="s">
        <v>18</v>
      </c>
      <c r="H141" s="70">
        <v>85.95</v>
      </c>
      <c r="I141" s="70">
        <v>336.45</v>
      </c>
      <c r="J141" s="70">
        <v>1</v>
      </c>
      <c r="K141" s="70" t="s">
        <v>31</v>
      </c>
      <c r="L141" s="70">
        <v>11.23</v>
      </c>
      <c r="M141" s="70">
        <v>93.57</v>
      </c>
      <c r="N141" s="73" t="s">
        <v>372</v>
      </c>
      <c r="AA141" s="78" t="s">
        <v>603</v>
      </c>
    </row>
    <row r="142" spans="1:27" ht="63.75" customHeight="1">
      <c r="A142" s="75" t="s">
        <v>196</v>
      </c>
      <c r="B142" s="76">
        <v>851</v>
      </c>
      <c r="C142" s="69" t="s">
        <v>689</v>
      </c>
      <c r="D142" s="69">
        <v>651.94000000000005</v>
      </c>
      <c r="E142" s="69" t="s">
        <v>782</v>
      </c>
      <c r="F142" s="69" t="s">
        <v>17</v>
      </c>
      <c r="H142" s="70">
        <v>1042.07</v>
      </c>
      <c r="I142" s="70">
        <v>-1227.1300000000001</v>
      </c>
      <c r="J142" s="70">
        <v>1</v>
      </c>
      <c r="K142" s="70" t="s">
        <v>31</v>
      </c>
      <c r="L142" s="70">
        <v>2.4</v>
      </c>
      <c r="M142" s="70">
        <v>5.5</v>
      </c>
      <c r="N142" s="73" t="s">
        <v>373</v>
      </c>
      <c r="AA142" s="78" t="s">
        <v>604</v>
      </c>
    </row>
    <row r="143" spans="1:27" ht="63.75" customHeight="1">
      <c r="A143" s="75" t="s">
        <v>197</v>
      </c>
      <c r="B143" s="76">
        <v>857</v>
      </c>
      <c r="C143" s="69" t="s">
        <v>689</v>
      </c>
      <c r="D143" s="69">
        <v>40.340000000000003</v>
      </c>
      <c r="E143" s="77"/>
      <c r="F143" s="69" t="s">
        <v>17</v>
      </c>
      <c r="H143" s="70"/>
      <c r="I143" s="70"/>
      <c r="J143" s="70"/>
      <c r="K143" s="70"/>
      <c r="L143" s="70"/>
      <c r="M143" s="70"/>
      <c r="N143" s="73" t="s">
        <v>374</v>
      </c>
      <c r="AA143" s="78" t="s">
        <v>605</v>
      </c>
    </row>
    <row r="144" spans="1:27" ht="63.75" customHeight="1">
      <c r="A144" s="75" t="s">
        <v>198</v>
      </c>
      <c r="B144" s="76">
        <v>858</v>
      </c>
      <c r="C144" s="69" t="s">
        <v>90</v>
      </c>
      <c r="D144" s="69">
        <f>179.84*10</f>
        <v>1798.4</v>
      </c>
      <c r="E144" s="77"/>
      <c r="F144" s="69" t="s">
        <v>17</v>
      </c>
      <c r="G144" s="69" t="s">
        <v>472</v>
      </c>
      <c r="H144" s="70"/>
      <c r="I144" s="70"/>
      <c r="J144" s="70"/>
      <c r="K144" s="70"/>
      <c r="L144" s="70"/>
      <c r="M144" s="70"/>
      <c r="N144" s="73" t="s">
        <v>375</v>
      </c>
      <c r="AA144" s="78" t="s">
        <v>606</v>
      </c>
    </row>
    <row r="145" spans="1:27" ht="63.75" customHeight="1">
      <c r="A145" s="75" t="s">
        <v>199</v>
      </c>
      <c r="B145" s="76">
        <v>860</v>
      </c>
      <c r="C145" s="69" t="s">
        <v>689</v>
      </c>
      <c r="D145" s="69">
        <v>17.600000000000001</v>
      </c>
      <c r="E145" s="77"/>
      <c r="F145" s="69" t="s">
        <v>17</v>
      </c>
      <c r="G145" s="69" t="s">
        <v>472</v>
      </c>
      <c r="H145" s="70"/>
      <c r="I145" s="70"/>
      <c r="J145" s="70"/>
      <c r="K145" s="70"/>
      <c r="L145" s="70"/>
      <c r="M145" s="70"/>
      <c r="N145" s="73" t="s">
        <v>376</v>
      </c>
      <c r="AA145" s="78" t="s">
        <v>607</v>
      </c>
    </row>
    <row r="146" spans="1:27" ht="63.75" customHeight="1">
      <c r="A146" s="75" t="s">
        <v>200</v>
      </c>
      <c r="B146" s="76">
        <v>861</v>
      </c>
      <c r="C146" s="69" t="s">
        <v>689</v>
      </c>
      <c r="D146" s="69">
        <v>23.78</v>
      </c>
      <c r="E146" s="69" t="s">
        <v>201</v>
      </c>
      <c r="F146" s="79" t="s">
        <v>18</v>
      </c>
      <c r="H146" s="70">
        <v>28.15</v>
      </c>
      <c r="I146" s="70">
        <v>-376.5</v>
      </c>
      <c r="J146" s="70">
        <v>1</v>
      </c>
      <c r="K146" s="70" t="s">
        <v>31</v>
      </c>
      <c r="L146" s="70">
        <v>6.3</v>
      </c>
      <c r="M146" s="70">
        <v>186</v>
      </c>
      <c r="N146" s="73" t="s">
        <v>377</v>
      </c>
      <c r="AA146" s="78" t="s">
        <v>608</v>
      </c>
    </row>
    <row r="147" spans="1:27" ht="63.75" customHeight="1">
      <c r="A147" s="75" t="s">
        <v>202</v>
      </c>
      <c r="B147" s="76">
        <v>862</v>
      </c>
      <c r="C147" s="69" t="s">
        <v>689</v>
      </c>
      <c r="D147" s="69">
        <v>30.65</v>
      </c>
      <c r="E147" s="77"/>
      <c r="F147" s="69" t="s">
        <v>17</v>
      </c>
      <c r="H147" s="70"/>
      <c r="I147" s="70"/>
      <c r="J147" s="70"/>
      <c r="K147" s="70"/>
      <c r="L147" s="70"/>
      <c r="M147" s="70"/>
      <c r="N147" s="73" t="s">
        <v>378</v>
      </c>
      <c r="AA147" s="78" t="s">
        <v>609</v>
      </c>
    </row>
    <row r="148" spans="1:27" ht="63.75" customHeight="1">
      <c r="A148" s="75" t="s">
        <v>203</v>
      </c>
      <c r="B148" s="76">
        <v>863</v>
      </c>
      <c r="C148" s="69" t="s">
        <v>689</v>
      </c>
      <c r="D148" s="69">
        <v>41.05</v>
      </c>
      <c r="E148" s="69" t="s">
        <v>204</v>
      </c>
      <c r="F148" s="69" t="s">
        <v>17</v>
      </c>
      <c r="H148" s="70">
        <v>84.01</v>
      </c>
      <c r="I148" s="70">
        <v>-1576.41</v>
      </c>
      <c r="J148" s="70">
        <v>1</v>
      </c>
      <c r="K148" s="70" t="s">
        <v>31</v>
      </c>
      <c r="L148" s="70">
        <v>28.8</v>
      </c>
      <c r="M148" s="70">
        <v>45.69</v>
      </c>
      <c r="N148" s="73" t="s">
        <v>741</v>
      </c>
      <c r="AA148" s="78" t="s">
        <v>610</v>
      </c>
    </row>
    <row r="149" spans="1:27" ht="63.75" customHeight="1">
      <c r="A149" s="75" t="s">
        <v>205</v>
      </c>
      <c r="B149" s="76">
        <v>864</v>
      </c>
      <c r="C149" s="69" t="s">
        <v>689</v>
      </c>
      <c r="D149" s="69">
        <v>50</v>
      </c>
      <c r="E149" s="77"/>
      <c r="F149" s="69" t="s">
        <v>17</v>
      </c>
      <c r="G149" s="69" t="s">
        <v>472</v>
      </c>
      <c r="H149" s="70"/>
      <c r="I149" s="70"/>
      <c r="J149" s="70"/>
      <c r="K149" s="70"/>
      <c r="L149" s="70"/>
      <c r="M149" s="70"/>
      <c r="N149" s="73" t="s">
        <v>742</v>
      </c>
      <c r="AA149" s="78" t="s">
        <v>611</v>
      </c>
    </row>
    <row r="150" spans="1:27" ht="63.75" customHeight="1">
      <c r="A150" s="75" t="s">
        <v>206</v>
      </c>
      <c r="B150" s="76">
        <v>865</v>
      </c>
      <c r="C150" s="69" t="s">
        <v>689</v>
      </c>
      <c r="D150" s="69">
        <v>18.2</v>
      </c>
      <c r="E150" s="77"/>
      <c r="F150" s="69" t="s">
        <v>17</v>
      </c>
      <c r="G150" s="69" t="s">
        <v>472</v>
      </c>
      <c r="H150" s="70"/>
      <c r="I150" s="70"/>
      <c r="J150" s="70"/>
      <c r="K150" s="70"/>
      <c r="L150" s="70"/>
      <c r="M150" s="70"/>
      <c r="N150" s="73" t="s">
        <v>379</v>
      </c>
      <c r="AA150" s="78" t="s">
        <v>612</v>
      </c>
    </row>
    <row r="151" spans="1:27" ht="63.75" customHeight="1">
      <c r="A151" s="75" t="s">
        <v>207</v>
      </c>
      <c r="B151" s="76">
        <v>866</v>
      </c>
      <c r="C151" s="69" t="s">
        <v>690</v>
      </c>
      <c r="D151" s="69">
        <v>35.5</v>
      </c>
      <c r="E151" s="77"/>
      <c r="F151" s="69" t="s">
        <v>17</v>
      </c>
      <c r="G151" s="69" t="s">
        <v>472</v>
      </c>
      <c r="H151" s="70"/>
      <c r="I151" s="70"/>
      <c r="J151" s="70"/>
      <c r="K151" s="70"/>
      <c r="L151" s="70"/>
      <c r="M151" s="70"/>
      <c r="N151" s="73" t="s">
        <v>380</v>
      </c>
      <c r="AA151" s="78" t="s">
        <v>613</v>
      </c>
    </row>
    <row r="152" spans="1:27" ht="63.75" customHeight="1">
      <c r="A152" s="75" t="s">
        <v>208</v>
      </c>
      <c r="B152" s="76">
        <v>867</v>
      </c>
      <c r="C152" s="69" t="s">
        <v>689</v>
      </c>
      <c r="D152" s="69">
        <v>27.7</v>
      </c>
      <c r="E152" s="77"/>
      <c r="F152" s="69" t="s">
        <v>17</v>
      </c>
      <c r="G152" s="69" t="s">
        <v>472</v>
      </c>
      <c r="H152" s="70"/>
      <c r="I152" s="70"/>
      <c r="J152" s="70"/>
      <c r="K152" s="70"/>
      <c r="L152" s="70"/>
      <c r="M152" s="70"/>
      <c r="N152" s="73" t="s">
        <v>381</v>
      </c>
      <c r="AA152" s="78" t="s">
        <v>614</v>
      </c>
    </row>
    <row r="153" spans="1:27" ht="63.75" customHeight="1">
      <c r="A153" s="75" t="s">
        <v>209</v>
      </c>
      <c r="B153" s="76">
        <v>868</v>
      </c>
      <c r="C153" s="69" t="s">
        <v>689</v>
      </c>
      <c r="D153" s="69">
        <v>143.6</v>
      </c>
      <c r="E153" s="77"/>
      <c r="F153" s="69" t="s">
        <v>17</v>
      </c>
      <c r="G153" s="69" t="s">
        <v>50</v>
      </c>
      <c r="H153" s="70"/>
      <c r="I153" s="70"/>
      <c r="J153" s="70"/>
      <c r="K153" s="70"/>
      <c r="L153" s="70"/>
      <c r="M153" s="70"/>
      <c r="N153" s="73" t="s">
        <v>382</v>
      </c>
      <c r="AA153" s="78" t="s">
        <v>615</v>
      </c>
    </row>
    <row r="154" spans="1:27" ht="63.75" customHeight="1">
      <c r="A154" s="75" t="s">
        <v>210</v>
      </c>
      <c r="B154" s="76">
        <v>869</v>
      </c>
      <c r="C154" s="69" t="s">
        <v>689</v>
      </c>
      <c r="D154" s="69">
        <v>20</v>
      </c>
      <c r="E154" s="77"/>
      <c r="F154" s="69" t="s">
        <v>17</v>
      </c>
      <c r="H154" s="70"/>
      <c r="I154" s="70"/>
      <c r="J154" s="70"/>
      <c r="K154" s="70"/>
      <c r="L154" s="70"/>
      <c r="M154" s="70"/>
      <c r="N154" s="73" t="s">
        <v>383</v>
      </c>
      <c r="AA154" s="78" t="s">
        <v>616</v>
      </c>
    </row>
    <row r="155" spans="1:27" ht="63.75" customHeight="1">
      <c r="A155" s="75" t="s">
        <v>211</v>
      </c>
      <c r="B155" s="76">
        <v>872</v>
      </c>
      <c r="C155" s="69" t="s">
        <v>689</v>
      </c>
      <c r="D155" s="69">
        <v>22.2</v>
      </c>
      <c r="E155" s="77"/>
      <c r="F155" s="69" t="s">
        <v>17</v>
      </c>
      <c r="G155" s="69" t="s">
        <v>50</v>
      </c>
      <c r="H155" s="70"/>
      <c r="I155" s="70"/>
      <c r="J155" s="70"/>
      <c r="K155" s="70"/>
      <c r="L155" s="70"/>
      <c r="M155" s="70"/>
      <c r="N155" s="73" t="s">
        <v>702</v>
      </c>
      <c r="AA155" s="78" t="s">
        <v>617</v>
      </c>
    </row>
    <row r="156" spans="1:27" ht="63.75" customHeight="1">
      <c r="A156" s="75" t="s">
        <v>212</v>
      </c>
      <c r="B156" s="76">
        <v>875</v>
      </c>
      <c r="C156" s="69" t="s">
        <v>689</v>
      </c>
      <c r="D156" s="69">
        <v>22.88</v>
      </c>
      <c r="E156" s="69" t="s">
        <v>213</v>
      </c>
      <c r="F156" s="69" t="s">
        <v>17</v>
      </c>
      <c r="H156" s="70">
        <v>67.09</v>
      </c>
      <c r="I156" s="70">
        <v>-4618.37</v>
      </c>
      <c r="J156" s="70">
        <v>1</v>
      </c>
      <c r="K156" s="70" t="s">
        <v>31</v>
      </c>
      <c r="L156" s="70">
        <v>95.85</v>
      </c>
      <c r="M156" s="70">
        <v>126.25</v>
      </c>
      <c r="N156" s="73" t="s">
        <v>384</v>
      </c>
      <c r="AA156" s="78" t="s">
        <v>618</v>
      </c>
    </row>
    <row r="157" spans="1:27" ht="63.75" customHeight="1">
      <c r="A157" s="75" t="s">
        <v>214</v>
      </c>
      <c r="B157" s="76">
        <v>876</v>
      </c>
      <c r="C157" s="69" t="s">
        <v>689</v>
      </c>
      <c r="D157" s="69">
        <v>66.400000000000006</v>
      </c>
      <c r="E157" s="77"/>
      <c r="F157" s="69" t="s">
        <v>17</v>
      </c>
      <c r="G157" s="69" t="s">
        <v>50</v>
      </c>
      <c r="H157" s="70"/>
      <c r="I157" s="70"/>
      <c r="J157" s="70"/>
      <c r="K157" s="70"/>
      <c r="L157" s="70"/>
      <c r="M157" s="70"/>
      <c r="N157" s="73" t="s">
        <v>385</v>
      </c>
      <c r="AA157" s="78" t="s">
        <v>619</v>
      </c>
    </row>
    <row r="158" spans="1:27" ht="63.75" customHeight="1">
      <c r="A158" s="75" t="s">
        <v>215</v>
      </c>
      <c r="B158" s="76">
        <v>879</v>
      </c>
      <c r="C158" s="69" t="s">
        <v>689</v>
      </c>
      <c r="D158" s="69">
        <v>56.55</v>
      </c>
      <c r="E158" s="77"/>
      <c r="F158" s="69" t="s">
        <v>17</v>
      </c>
      <c r="G158" s="69" t="s">
        <v>50</v>
      </c>
      <c r="H158" s="70"/>
      <c r="I158" s="70"/>
      <c r="J158" s="70"/>
      <c r="K158" s="70"/>
      <c r="L158" s="70"/>
      <c r="M158" s="70"/>
      <c r="N158" s="73" t="s">
        <v>705</v>
      </c>
      <c r="AA158" s="78" t="s">
        <v>620</v>
      </c>
    </row>
    <row r="159" spans="1:27" ht="63.75" customHeight="1">
      <c r="A159" s="75" t="s">
        <v>427</v>
      </c>
      <c r="B159" s="76">
        <v>880</v>
      </c>
      <c r="C159" s="69" t="s">
        <v>689</v>
      </c>
      <c r="D159" s="69">
        <v>90.08</v>
      </c>
      <c r="E159" s="69" t="s">
        <v>216</v>
      </c>
      <c r="F159" s="69" t="s">
        <v>17</v>
      </c>
      <c r="H159" s="70">
        <v>0.99</v>
      </c>
      <c r="I159" s="70">
        <v>4.51</v>
      </c>
      <c r="J159" s="70">
        <v>1</v>
      </c>
      <c r="K159" s="70" t="s">
        <v>40</v>
      </c>
      <c r="L159" s="70">
        <v>8.6300000000000008</v>
      </c>
      <c r="M159" s="70">
        <v>13.25</v>
      </c>
      <c r="N159" s="73" t="s">
        <v>386</v>
      </c>
      <c r="AA159" s="78" t="s">
        <v>621</v>
      </c>
    </row>
    <row r="160" spans="1:27" ht="63.75" customHeight="1">
      <c r="A160" s="75" t="s">
        <v>426</v>
      </c>
      <c r="B160" s="76">
        <v>881</v>
      </c>
      <c r="C160" s="69" t="s">
        <v>689</v>
      </c>
      <c r="D160" s="69">
        <v>107.2</v>
      </c>
      <c r="E160" s="69" t="s">
        <v>783</v>
      </c>
      <c r="F160" s="69" t="s">
        <v>17</v>
      </c>
      <c r="H160" s="70">
        <v>0.73</v>
      </c>
      <c r="I160" s="70">
        <v>5.33</v>
      </c>
      <c r="J160" s="70">
        <v>1</v>
      </c>
      <c r="K160" s="70" t="s">
        <v>40</v>
      </c>
      <c r="L160" s="70">
        <v>2.84</v>
      </c>
      <c r="M160" s="70">
        <v>15.52</v>
      </c>
      <c r="N160" s="73" t="s">
        <v>387</v>
      </c>
      <c r="AA160" s="78" t="s">
        <v>622</v>
      </c>
    </row>
    <row r="161" spans="1:27" ht="63.75" customHeight="1">
      <c r="A161" s="75" t="s">
        <v>784</v>
      </c>
      <c r="B161" s="76">
        <v>882</v>
      </c>
      <c r="C161" s="69" t="s">
        <v>689</v>
      </c>
      <c r="D161" s="69">
        <v>227.76</v>
      </c>
      <c r="E161" s="77"/>
      <c r="F161" s="69" t="s">
        <v>17</v>
      </c>
      <c r="G161" s="69" t="s">
        <v>50</v>
      </c>
      <c r="H161" s="70"/>
      <c r="I161" s="70"/>
      <c r="J161" s="70"/>
      <c r="K161" s="70"/>
      <c r="L161" s="70"/>
      <c r="M161" s="70"/>
      <c r="N161" s="73" t="s">
        <v>388</v>
      </c>
      <c r="AA161" s="78" t="s">
        <v>623</v>
      </c>
    </row>
    <row r="162" spans="1:27" ht="63.75" customHeight="1">
      <c r="A162" s="75" t="s">
        <v>785</v>
      </c>
      <c r="B162" s="76">
        <v>890</v>
      </c>
      <c r="C162" s="69" t="s">
        <v>689</v>
      </c>
      <c r="D162" s="69">
        <v>6.32</v>
      </c>
      <c r="E162" s="77"/>
      <c r="F162" s="69" t="s">
        <v>17</v>
      </c>
      <c r="H162" s="70"/>
      <c r="I162" s="70"/>
      <c r="J162" s="70"/>
      <c r="K162" s="70"/>
      <c r="L162" s="70"/>
      <c r="M162" s="70"/>
      <c r="N162" s="73" t="s">
        <v>389</v>
      </c>
      <c r="AA162" s="78" t="s">
        <v>624</v>
      </c>
    </row>
    <row r="163" spans="1:27" ht="63.75" customHeight="1">
      <c r="A163" s="75" t="s">
        <v>217</v>
      </c>
      <c r="B163" s="76">
        <v>895</v>
      </c>
      <c r="C163" s="69" t="s">
        <v>689</v>
      </c>
      <c r="D163" s="69">
        <f>10.1*10</f>
        <v>101</v>
      </c>
      <c r="E163" s="77"/>
      <c r="F163" s="69" t="s">
        <v>17</v>
      </c>
      <c r="G163" s="69" t="s">
        <v>472</v>
      </c>
      <c r="H163" s="70"/>
      <c r="I163" s="70"/>
      <c r="J163" s="70"/>
      <c r="K163" s="70"/>
      <c r="L163" s="70"/>
      <c r="M163" s="70"/>
      <c r="N163" s="73" t="s">
        <v>390</v>
      </c>
      <c r="AA163" s="78" t="s">
        <v>625</v>
      </c>
    </row>
    <row r="164" spans="1:27" ht="63.75" customHeight="1">
      <c r="A164" s="75" t="s">
        <v>218</v>
      </c>
      <c r="B164" s="76">
        <v>897</v>
      </c>
      <c r="C164" s="69" t="s">
        <v>689</v>
      </c>
      <c r="D164" s="69">
        <v>6</v>
      </c>
      <c r="E164" s="77"/>
      <c r="F164" s="69" t="s">
        <v>17</v>
      </c>
      <c r="G164" s="69" t="s">
        <v>50</v>
      </c>
      <c r="H164" s="70"/>
      <c r="I164" s="70"/>
      <c r="J164" s="70"/>
      <c r="K164" s="70"/>
      <c r="L164" s="70"/>
      <c r="M164" s="70"/>
      <c r="N164" s="73" t="s">
        <v>391</v>
      </c>
      <c r="AA164" s="78" t="s">
        <v>626</v>
      </c>
    </row>
    <row r="165" spans="1:27" ht="63.75" customHeight="1">
      <c r="A165" s="75" t="s">
        <v>219</v>
      </c>
      <c r="B165" s="76">
        <v>899</v>
      </c>
      <c r="C165" s="69" t="s">
        <v>689</v>
      </c>
      <c r="D165" s="69">
        <v>107.21</v>
      </c>
      <c r="E165" s="69" t="s">
        <v>220</v>
      </c>
      <c r="F165" s="69" t="s">
        <v>17</v>
      </c>
      <c r="H165" s="70">
        <v>0.52</v>
      </c>
      <c r="I165" s="70">
        <v>5.75</v>
      </c>
      <c r="J165" s="70">
        <v>1</v>
      </c>
      <c r="K165" s="70" t="s">
        <v>40</v>
      </c>
      <c r="L165" s="70">
        <v>2.6</v>
      </c>
      <c r="M165" s="70">
        <v>12</v>
      </c>
      <c r="N165" s="73" t="s">
        <v>392</v>
      </c>
      <c r="AA165" s="78" t="s">
        <v>627</v>
      </c>
    </row>
    <row r="166" spans="1:27" ht="63.75" customHeight="1">
      <c r="A166" s="80"/>
      <c r="B166" s="72" t="s">
        <v>221</v>
      </c>
      <c r="C166" s="69" t="s">
        <v>37</v>
      </c>
      <c r="H166" s="70"/>
      <c r="I166" s="70"/>
      <c r="J166" s="70"/>
      <c r="K166" s="70"/>
      <c r="L166" s="70"/>
      <c r="M166" s="70"/>
      <c r="N166" s="73" t="s">
        <v>393</v>
      </c>
      <c r="AA166" s="74"/>
    </row>
    <row r="167" spans="1:27" ht="63.75" customHeight="1">
      <c r="A167" s="75" t="s">
        <v>222</v>
      </c>
      <c r="B167" s="76">
        <v>911</v>
      </c>
      <c r="C167" s="69" t="s">
        <v>689</v>
      </c>
      <c r="D167" s="69">
        <v>121.3</v>
      </c>
      <c r="E167" s="77"/>
      <c r="F167" s="69" t="s">
        <v>17</v>
      </c>
      <c r="G167" s="69" t="s">
        <v>472</v>
      </c>
      <c r="H167" s="70"/>
      <c r="I167" s="70"/>
      <c r="J167" s="70"/>
      <c r="K167" s="70"/>
      <c r="L167" s="70"/>
      <c r="M167" s="70"/>
      <c r="N167" s="73" t="s">
        <v>394</v>
      </c>
      <c r="AA167" s="78" t="s">
        <v>628</v>
      </c>
    </row>
    <row r="168" spans="1:27" ht="63.75" customHeight="1">
      <c r="A168" s="75" t="s">
        <v>223</v>
      </c>
      <c r="B168" s="76">
        <v>912</v>
      </c>
      <c r="C168" s="69" t="s">
        <v>689</v>
      </c>
      <c r="D168" s="69">
        <v>98.85</v>
      </c>
      <c r="E168" s="77"/>
      <c r="F168" s="69" t="s">
        <v>17</v>
      </c>
      <c r="H168" s="70"/>
      <c r="I168" s="70"/>
      <c r="J168" s="70"/>
      <c r="K168" s="70"/>
      <c r="L168" s="70"/>
      <c r="M168" s="70"/>
      <c r="N168" s="73" t="s">
        <v>395</v>
      </c>
      <c r="AA168" s="78" t="s">
        <v>629</v>
      </c>
    </row>
    <row r="169" spans="1:27" ht="63.75" customHeight="1">
      <c r="A169" s="75" t="s">
        <v>786</v>
      </c>
      <c r="B169" s="76">
        <v>918</v>
      </c>
      <c r="C169" s="69" t="s">
        <v>689</v>
      </c>
      <c r="D169" s="69">
        <f>1.45*10</f>
        <v>14.5</v>
      </c>
      <c r="E169" s="77"/>
      <c r="F169" s="69" t="s">
        <v>17</v>
      </c>
      <c r="G169" s="69" t="s">
        <v>472</v>
      </c>
      <c r="H169" s="70"/>
      <c r="I169" s="70"/>
      <c r="J169" s="70"/>
      <c r="K169" s="70"/>
      <c r="L169" s="70"/>
      <c r="M169" s="70"/>
      <c r="N169" s="73" t="s">
        <v>396</v>
      </c>
      <c r="AA169" s="78" t="s">
        <v>630</v>
      </c>
    </row>
    <row r="170" spans="1:27" ht="63.75" customHeight="1">
      <c r="A170" s="75" t="s">
        <v>224</v>
      </c>
      <c r="B170" s="76">
        <v>920</v>
      </c>
      <c r="C170" s="69" t="s">
        <v>689</v>
      </c>
      <c r="D170" s="69">
        <v>74.2</v>
      </c>
      <c r="E170" s="77"/>
      <c r="F170" s="69" t="s">
        <v>17</v>
      </c>
      <c r="G170" s="69" t="s">
        <v>472</v>
      </c>
      <c r="H170" s="70"/>
      <c r="I170" s="70"/>
      <c r="J170" s="70"/>
      <c r="K170" s="70"/>
      <c r="L170" s="70"/>
      <c r="M170" s="70"/>
      <c r="N170" s="73" t="s">
        <v>397</v>
      </c>
      <c r="AA170" s="78" t="s">
        <v>631</v>
      </c>
    </row>
    <row r="171" spans="1:27" ht="63.75" customHeight="1">
      <c r="A171" s="75" t="s">
        <v>225</v>
      </c>
      <c r="B171" s="76">
        <v>926</v>
      </c>
      <c r="C171" s="69" t="s">
        <v>226</v>
      </c>
      <c r="D171" s="69">
        <v>61.6</v>
      </c>
      <c r="E171" s="69" t="s">
        <v>475</v>
      </c>
      <c r="F171" s="69" t="s">
        <v>17</v>
      </c>
      <c r="H171" s="70">
        <v>6.98</v>
      </c>
      <c r="I171" s="70">
        <v>-7.59</v>
      </c>
      <c r="J171" s="70">
        <v>10</v>
      </c>
      <c r="K171" s="70" t="s">
        <v>31</v>
      </c>
      <c r="L171" s="70">
        <v>4</v>
      </c>
      <c r="M171" s="70">
        <v>19</v>
      </c>
      <c r="N171" s="73" t="s">
        <v>398</v>
      </c>
      <c r="AA171" s="78" t="s">
        <v>632</v>
      </c>
    </row>
    <row r="172" spans="1:27" ht="63.75" customHeight="1">
      <c r="A172" s="75" t="s">
        <v>787</v>
      </c>
      <c r="B172" s="76" t="s">
        <v>788</v>
      </c>
      <c r="C172" s="69" t="s">
        <v>689</v>
      </c>
      <c r="D172" s="69">
        <v>653.22</v>
      </c>
      <c r="E172" s="77"/>
      <c r="F172" s="69" t="s">
        <v>17</v>
      </c>
      <c r="H172" s="70"/>
      <c r="I172" s="70"/>
      <c r="J172" s="70"/>
      <c r="K172" s="70"/>
      <c r="L172" s="70"/>
      <c r="M172" s="70"/>
      <c r="N172" s="73" t="s">
        <v>399</v>
      </c>
      <c r="AA172" s="78" t="s">
        <v>789</v>
      </c>
    </row>
    <row r="173" spans="1:27" ht="63.75" customHeight="1">
      <c r="A173" s="75" t="s">
        <v>227</v>
      </c>
      <c r="B173" s="76">
        <v>930</v>
      </c>
      <c r="C173" s="69" t="s">
        <v>689</v>
      </c>
      <c r="D173" s="69">
        <v>225.89</v>
      </c>
      <c r="E173" s="77"/>
      <c r="F173" s="69" t="s">
        <v>17</v>
      </c>
      <c r="H173" s="70"/>
      <c r="I173" s="70"/>
      <c r="J173" s="70"/>
      <c r="K173" s="70"/>
      <c r="L173" s="70"/>
      <c r="M173" s="70"/>
      <c r="N173" s="73" t="s">
        <v>400</v>
      </c>
      <c r="AA173" s="78" t="s">
        <v>633</v>
      </c>
    </row>
    <row r="174" spans="1:27" ht="63.75" customHeight="1">
      <c r="A174" s="75" t="s">
        <v>228</v>
      </c>
      <c r="B174" s="76">
        <v>931</v>
      </c>
      <c r="C174" s="69" t="s">
        <v>689</v>
      </c>
      <c r="D174" s="69">
        <v>79.03</v>
      </c>
      <c r="E174" s="77"/>
      <c r="F174" s="69" t="s">
        <v>17</v>
      </c>
      <c r="H174" s="70"/>
      <c r="I174" s="70"/>
      <c r="J174" s="70"/>
      <c r="K174" s="70"/>
      <c r="L174" s="70"/>
      <c r="M174" s="70"/>
      <c r="N174" s="73" t="s">
        <v>401</v>
      </c>
      <c r="AA174" s="78" t="s">
        <v>634</v>
      </c>
    </row>
    <row r="175" spans="1:27" ht="63.75" customHeight="1">
      <c r="A175" s="75" t="s">
        <v>229</v>
      </c>
      <c r="B175" s="76">
        <v>932</v>
      </c>
      <c r="C175" s="69" t="s">
        <v>689</v>
      </c>
      <c r="D175" s="69">
        <v>103.75</v>
      </c>
      <c r="E175" s="77"/>
      <c r="F175" s="69" t="s">
        <v>17</v>
      </c>
      <c r="H175" s="70"/>
      <c r="I175" s="70"/>
      <c r="J175" s="70"/>
      <c r="K175" s="70"/>
      <c r="L175" s="70"/>
      <c r="M175" s="70"/>
      <c r="N175" s="73" t="s">
        <v>402</v>
      </c>
      <c r="AA175" s="78" t="s">
        <v>635</v>
      </c>
    </row>
    <row r="176" spans="1:27" ht="63.75" customHeight="1">
      <c r="A176" s="75" t="s">
        <v>428</v>
      </c>
      <c r="B176" s="76">
        <v>933</v>
      </c>
      <c r="C176" s="69" t="s">
        <v>689</v>
      </c>
      <c r="D176" s="69">
        <v>413.41</v>
      </c>
      <c r="E176" s="77"/>
      <c r="F176" s="69" t="s">
        <v>17</v>
      </c>
      <c r="H176" s="70"/>
      <c r="I176" s="70"/>
      <c r="J176" s="70"/>
      <c r="K176" s="70"/>
      <c r="L176" s="70"/>
      <c r="M176" s="70"/>
      <c r="N176" s="73" t="s">
        <v>790</v>
      </c>
      <c r="AA176" s="78" t="s">
        <v>636</v>
      </c>
    </row>
    <row r="177" spans="1:27" ht="63.75" customHeight="1">
      <c r="A177" s="75" t="s">
        <v>429</v>
      </c>
      <c r="B177" s="76">
        <v>934</v>
      </c>
      <c r="C177" s="69" t="s">
        <v>689</v>
      </c>
      <c r="D177" s="69">
        <v>448.12</v>
      </c>
      <c r="E177" s="77"/>
      <c r="F177" s="69" t="s">
        <v>17</v>
      </c>
      <c r="H177" s="70"/>
      <c r="I177" s="70"/>
      <c r="J177" s="70"/>
      <c r="K177" s="70"/>
      <c r="L177" s="70"/>
      <c r="M177" s="70"/>
      <c r="N177" s="73" t="s">
        <v>733</v>
      </c>
      <c r="AA177" s="78" t="s">
        <v>637</v>
      </c>
    </row>
    <row r="178" spans="1:27" ht="63.75" customHeight="1">
      <c r="A178" s="75" t="s">
        <v>430</v>
      </c>
      <c r="B178" s="76">
        <v>935</v>
      </c>
      <c r="C178" s="69" t="s">
        <v>230</v>
      </c>
      <c r="D178" s="69">
        <v>595</v>
      </c>
      <c r="E178" s="77"/>
      <c r="F178" s="69" t="s">
        <v>17</v>
      </c>
      <c r="G178" s="69" t="s">
        <v>472</v>
      </c>
      <c r="H178" s="70"/>
      <c r="I178" s="70"/>
      <c r="J178" s="70"/>
      <c r="K178" s="70"/>
      <c r="L178" s="70"/>
      <c r="M178" s="70"/>
      <c r="N178" s="73" t="s">
        <v>403</v>
      </c>
      <c r="AA178" s="78" t="s">
        <v>638</v>
      </c>
    </row>
    <row r="179" spans="1:27" ht="63.75" customHeight="1">
      <c r="A179" s="75" t="s">
        <v>431</v>
      </c>
      <c r="B179" s="76">
        <v>936</v>
      </c>
      <c r="C179" s="69" t="s">
        <v>689</v>
      </c>
      <c r="D179" s="69">
        <v>315.3</v>
      </c>
      <c r="E179" s="77"/>
      <c r="F179" s="69" t="s">
        <v>17</v>
      </c>
      <c r="G179" s="69" t="s">
        <v>472</v>
      </c>
      <c r="H179" s="70"/>
      <c r="I179" s="70"/>
      <c r="J179" s="70"/>
      <c r="K179" s="70"/>
      <c r="L179" s="70"/>
      <c r="M179" s="70"/>
      <c r="N179" s="73" t="s">
        <v>404</v>
      </c>
      <c r="AA179" s="78" t="s">
        <v>639</v>
      </c>
    </row>
    <row r="180" spans="1:27" ht="63.75" customHeight="1">
      <c r="A180" s="75" t="s">
        <v>432</v>
      </c>
      <c r="B180" s="76">
        <v>937</v>
      </c>
      <c r="C180" s="69" t="s">
        <v>689</v>
      </c>
      <c r="D180" s="69">
        <v>600.5</v>
      </c>
      <c r="E180" s="77"/>
      <c r="F180" s="69" t="s">
        <v>17</v>
      </c>
      <c r="H180" s="70"/>
      <c r="I180" s="70"/>
      <c r="J180" s="70"/>
      <c r="K180" s="70"/>
      <c r="L180" s="70"/>
      <c r="M180" s="70"/>
      <c r="N180" s="73" t="s">
        <v>405</v>
      </c>
      <c r="AA180" s="78" t="s">
        <v>791</v>
      </c>
    </row>
    <row r="181" spans="1:27" ht="63.75" customHeight="1">
      <c r="A181" s="75" t="s">
        <v>433</v>
      </c>
      <c r="B181" s="76">
        <v>938</v>
      </c>
      <c r="C181" s="69" t="s">
        <v>230</v>
      </c>
      <c r="D181" s="69">
        <v>179</v>
      </c>
      <c r="E181" s="77"/>
      <c r="F181" s="69" t="s">
        <v>17</v>
      </c>
      <c r="H181" s="70"/>
      <c r="I181" s="70"/>
      <c r="J181" s="70"/>
      <c r="K181" s="70"/>
      <c r="L181" s="70"/>
      <c r="M181" s="70"/>
      <c r="AA181" s="78" t="s">
        <v>640</v>
      </c>
    </row>
    <row r="182" spans="1:27" ht="63.75" customHeight="1">
      <c r="A182" s="75" t="s">
        <v>231</v>
      </c>
      <c r="B182" s="76">
        <v>941</v>
      </c>
      <c r="C182" s="69" t="s">
        <v>689</v>
      </c>
      <c r="D182" s="69">
        <v>69.569999999999993</v>
      </c>
      <c r="E182" s="77"/>
      <c r="F182" s="69" t="s">
        <v>17</v>
      </c>
      <c r="G182" s="69" t="s">
        <v>50</v>
      </c>
      <c r="H182" s="70"/>
      <c r="I182" s="70"/>
      <c r="J182" s="70"/>
      <c r="K182" s="70"/>
      <c r="L182" s="70"/>
      <c r="M182" s="70"/>
      <c r="N182" s="73" t="s">
        <v>244</v>
      </c>
      <c r="AA182" s="78" t="s">
        <v>641</v>
      </c>
    </row>
    <row r="183" spans="1:27" ht="63.75" customHeight="1">
      <c r="A183" s="75" t="s">
        <v>232</v>
      </c>
      <c r="B183" s="76">
        <v>942</v>
      </c>
      <c r="C183" s="69" t="s">
        <v>689</v>
      </c>
      <c r="D183" s="69">
        <v>33.89</v>
      </c>
      <c r="E183" s="77"/>
      <c r="F183" s="69" t="s">
        <v>17</v>
      </c>
      <c r="H183" s="70"/>
      <c r="I183" s="70"/>
      <c r="J183" s="70"/>
      <c r="K183" s="70"/>
      <c r="L183" s="70"/>
      <c r="M183" s="70"/>
      <c r="N183" s="73" t="s">
        <v>245</v>
      </c>
      <c r="AA183" s="78" t="s">
        <v>642</v>
      </c>
    </row>
    <row r="184" spans="1:27" ht="63.75" customHeight="1">
      <c r="A184" s="75" t="s">
        <v>233</v>
      </c>
      <c r="B184" s="76">
        <v>943</v>
      </c>
      <c r="C184" s="69" t="s">
        <v>689</v>
      </c>
      <c r="D184" s="69">
        <v>16.600000000000001</v>
      </c>
      <c r="E184" s="77"/>
      <c r="F184" s="69" t="s">
        <v>17</v>
      </c>
      <c r="G184" s="69" t="s">
        <v>50</v>
      </c>
      <c r="H184" s="70"/>
      <c r="I184" s="70"/>
      <c r="J184" s="70"/>
      <c r="K184" s="70"/>
      <c r="L184" s="70"/>
      <c r="M184" s="70"/>
      <c r="N184" s="73" t="s">
        <v>493</v>
      </c>
      <c r="AA184" s="78" t="s">
        <v>643</v>
      </c>
    </row>
    <row r="185" spans="1:27" ht="63.75" customHeight="1">
      <c r="A185" s="75" t="s">
        <v>234</v>
      </c>
      <c r="B185" s="76">
        <v>944</v>
      </c>
      <c r="C185" s="69" t="s">
        <v>235</v>
      </c>
      <c r="D185" s="69">
        <v>172.01</v>
      </c>
      <c r="E185" s="77"/>
      <c r="F185" s="69" t="s">
        <v>17</v>
      </c>
      <c r="G185" s="69" t="s">
        <v>50</v>
      </c>
      <c r="H185" s="70"/>
      <c r="I185" s="70"/>
      <c r="J185" s="70"/>
      <c r="K185" s="70"/>
      <c r="L185" s="70"/>
      <c r="M185" s="70"/>
      <c r="AA185" s="78" t="s">
        <v>644</v>
      </c>
    </row>
    <row r="186" spans="1:27" ht="63.75" customHeight="1">
      <c r="A186" s="75" t="s">
        <v>236</v>
      </c>
      <c r="B186" s="76">
        <v>945</v>
      </c>
      <c r="C186" s="69" t="s">
        <v>235</v>
      </c>
      <c r="D186" s="69">
        <v>211.05</v>
      </c>
      <c r="E186" s="69" t="s">
        <v>792</v>
      </c>
      <c r="F186" s="79" t="s">
        <v>18</v>
      </c>
      <c r="H186" s="70">
        <v>173.51</v>
      </c>
      <c r="I186" s="70">
        <v>353.51</v>
      </c>
      <c r="J186" s="70">
        <v>1</v>
      </c>
      <c r="K186" s="70" t="s">
        <v>31</v>
      </c>
      <c r="L186" s="70">
        <v>2</v>
      </c>
      <c r="M186" s="70">
        <v>24</v>
      </c>
      <c r="N186" s="73">
        <v>1</v>
      </c>
      <c r="AA186" s="78" t="s">
        <v>645</v>
      </c>
    </row>
    <row r="187" spans="1:27" ht="63.75" customHeight="1">
      <c r="A187" s="75" t="s">
        <v>237</v>
      </c>
      <c r="B187" s="76">
        <v>947</v>
      </c>
      <c r="C187" s="69" t="s">
        <v>238</v>
      </c>
      <c r="D187" s="69">
        <v>46.9</v>
      </c>
      <c r="E187" s="69" t="s">
        <v>793</v>
      </c>
      <c r="F187" s="69" t="s">
        <v>17</v>
      </c>
      <c r="G187" s="69" t="s">
        <v>472</v>
      </c>
      <c r="H187" s="70">
        <v>6.14</v>
      </c>
      <c r="I187" s="70">
        <v>-10.51</v>
      </c>
      <c r="J187" s="70">
        <v>10</v>
      </c>
      <c r="K187" s="70" t="s">
        <v>31</v>
      </c>
      <c r="L187" s="70">
        <v>6</v>
      </c>
      <c r="M187" s="70">
        <v>10</v>
      </c>
      <c r="N187" s="73">
        <v>2</v>
      </c>
      <c r="AA187" s="78" t="s">
        <v>646</v>
      </c>
    </row>
    <row r="188" spans="1:27" ht="63.75" customHeight="1">
      <c r="A188" s="75" t="s">
        <v>239</v>
      </c>
      <c r="B188" s="76">
        <v>948</v>
      </c>
      <c r="C188" s="69" t="s">
        <v>689</v>
      </c>
      <c r="D188" s="69">
        <v>253.51</v>
      </c>
      <c r="E188" s="77"/>
      <c r="F188" s="69" t="s">
        <v>17</v>
      </c>
      <c r="H188" s="70"/>
      <c r="I188" s="70"/>
      <c r="J188" s="70"/>
      <c r="K188" s="70"/>
      <c r="L188" s="70"/>
      <c r="M188" s="70"/>
      <c r="N188" s="73">
        <v>3</v>
      </c>
      <c r="AA188" s="78" t="s">
        <v>647</v>
      </c>
    </row>
    <row r="189" spans="1:27" ht="63.75" customHeight="1">
      <c r="A189" s="75" t="s">
        <v>240</v>
      </c>
      <c r="B189" s="76">
        <v>949</v>
      </c>
      <c r="C189" s="69" t="s">
        <v>238</v>
      </c>
      <c r="D189" s="69">
        <v>156.19999999999999</v>
      </c>
      <c r="E189" s="77"/>
      <c r="F189" s="69" t="s">
        <v>17</v>
      </c>
      <c r="G189" s="69" t="s">
        <v>50</v>
      </c>
      <c r="H189" s="70"/>
      <c r="I189" s="70"/>
      <c r="J189" s="70"/>
      <c r="K189" s="70"/>
      <c r="L189" s="70"/>
      <c r="M189" s="70"/>
      <c r="N189" s="73">
        <v>4</v>
      </c>
      <c r="AA189" s="78" t="s">
        <v>648</v>
      </c>
    </row>
    <row r="190" spans="1:27" ht="63.75" customHeight="1">
      <c r="A190" s="75" t="s">
        <v>794</v>
      </c>
      <c r="B190" s="76" t="s">
        <v>795</v>
      </c>
      <c r="C190" s="69" t="s">
        <v>689</v>
      </c>
      <c r="D190" s="69">
        <v>366.65</v>
      </c>
      <c r="E190" s="69" t="s">
        <v>796</v>
      </c>
      <c r="F190" s="79" t="s">
        <v>18</v>
      </c>
      <c r="H190" s="70">
        <v>283.77</v>
      </c>
      <c r="I190" s="70">
        <v>2045.74</v>
      </c>
      <c r="J190" s="70">
        <v>1</v>
      </c>
      <c r="K190" s="70" t="s">
        <v>31</v>
      </c>
      <c r="L190" s="70">
        <v>7.3</v>
      </c>
      <c r="M190" s="70">
        <v>56.5</v>
      </c>
      <c r="N190" s="73" t="s">
        <v>246</v>
      </c>
      <c r="AA190" s="78" t="s">
        <v>797</v>
      </c>
    </row>
    <row r="191" spans="1:27" ht="63.75" customHeight="1">
      <c r="A191" s="75" t="s">
        <v>798</v>
      </c>
      <c r="B191" s="76" t="s">
        <v>799</v>
      </c>
      <c r="C191" s="69" t="s">
        <v>689</v>
      </c>
      <c r="D191" s="69">
        <v>368.56</v>
      </c>
      <c r="E191" s="77"/>
      <c r="F191" s="69" t="s">
        <v>17</v>
      </c>
      <c r="H191" s="70"/>
      <c r="I191" s="70"/>
      <c r="J191" s="70"/>
      <c r="K191" s="70"/>
      <c r="L191" s="70"/>
      <c r="M191" s="70"/>
      <c r="AA191" s="78" t="s">
        <v>800</v>
      </c>
    </row>
    <row r="192" spans="1:27" ht="63.75" customHeight="1">
      <c r="A192" s="75" t="s">
        <v>241</v>
      </c>
      <c r="B192" s="76">
        <v>970</v>
      </c>
      <c r="C192" s="69" t="s">
        <v>689</v>
      </c>
      <c r="D192" s="69">
        <v>111.85</v>
      </c>
      <c r="E192" s="77"/>
      <c r="F192" s="69" t="s">
        <v>17</v>
      </c>
      <c r="G192" s="69" t="s">
        <v>50</v>
      </c>
      <c r="H192" s="70"/>
      <c r="I192" s="70"/>
      <c r="J192" s="70"/>
      <c r="K192" s="70"/>
      <c r="L192" s="70"/>
      <c r="M192" s="70"/>
      <c r="N192" s="73" t="s">
        <v>487</v>
      </c>
      <c r="AA192" s="78" t="s">
        <v>649</v>
      </c>
    </row>
    <row r="193" spans="1:27" ht="63.75" customHeight="1">
      <c r="A193" s="75" t="s">
        <v>242</v>
      </c>
      <c r="B193" s="76">
        <v>971</v>
      </c>
      <c r="C193" s="69" t="s">
        <v>689</v>
      </c>
      <c r="D193" s="69">
        <v>61.69</v>
      </c>
      <c r="E193" s="77"/>
      <c r="F193" s="69" t="s">
        <v>17</v>
      </c>
      <c r="G193" s="69" t="s">
        <v>50</v>
      </c>
      <c r="H193" s="70"/>
      <c r="I193" s="70"/>
      <c r="J193" s="70"/>
      <c r="K193" s="70"/>
      <c r="L193" s="70"/>
      <c r="M193" s="70"/>
      <c r="N193" s="73" t="s">
        <v>488</v>
      </c>
      <c r="AA193" s="78" t="s">
        <v>650</v>
      </c>
    </row>
    <row r="194" spans="1:27" ht="63.75" customHeight="1">
      <c r="A194" s="75" t="s">
        <v>243</v>
      </c>
      <c r="B194" s="76">
        <v>975</v>
      </c>
      <c r="C194" s="69" t="s">
        <v>690</v>
      </c>
      <c r="D194" s="69">
        <v>64.400000000000006</v>
      </c>
      <c r="E194" s="77"/>
      <c r="F194" s="69" t="s">
        <v>17</v>
      </c>
      <c r="G194" s="69" t="s">
        <v>472</v>
      </c>
      <c r="H194" s="70"/>
      <c r="I194" s="70"/>
      <c r="J194" s="70"/>
      <c r="K194" s="70"/>
      <c r="L194" s="70"/>
      <c r="M194" s="70"/>
      <c r="N194" s="73" t="s">
        <v>489</v>
      </c>
      <c r="AA194" s="78" t="s">
        <v>651</v>
      </c>
    </row>
  </sheetData>
  <sheetProtection algorithmName="SHA-512" hashValue="Aq7Ouqku6tD4CQubJOOgBwW5yK1GS+Q1R4VG7bAt9wNPGICxOrFe44K7C9Ut3amWPv+jj8oRBneNr2BUKmRHwg==" saltValue="rwq/eykGsttS9Rw/txXY2w==" spinCount="100000" sheet="1" objects="1" scenarios="1"/>
  <pageMargins left="0.7" right="0.7" top="0.75" bottom="0.75" header="0.3" footer="0.3"/>
  <legacyDrawing r:id="rId1"/>
</worksheet>
</file>

<file path=docMetadata/LabelInfo.xml><?xml version="1.0" encoding="utf-8"?>
<clbl:labelList xmlns:clbl="http://schemas.microsoft.com/office/2020/mipLabelMetadata">
  <clbl:label id="{5c5e19f6-a6ab-4b45-b1d0-be4608a9a67f}" enabled="0" method="" siteId="{5c5e19f6-a6ab-4b45-b1d0-be4608a9a67f}"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11</vt:i4>
      </vt:variant>
    </vt:vector>
  </HeadingPairs>
  <TitlesOfParts>
    <vt:vector size="14" baseType="lpstr">
      <vt:lpstr>Instructions</vt:lpstr>
      <vt:lpstr>TDW</vt:lpstr>
      <vt:lpstr>Land Uses</vt:lpstr>
      <vt:lpstr>Industrial_100s</vt:lpstr>
      <vt:lpstr>Institutional_500s</vt:lpstr>
      <vt:lpstr>Lodging_300s</vt:lpstr>
      <vt:lpstr>Medical_600s</vt:lpstr>
      <vt:lpstr>Office_700s</vt:lpstr>
      <vt:lpstr>Port_and_Terminal_000s</vt:lpstr>
      <vt:lpstr>TDW!Print_Area</vt:lpstr>
      <vt:lpstr>Recreational_400s</vt:lpstr>
      <vt:lpstr>Residential_200s</vt:lpstr>
      <vt:lpstr>Retail_800s</vt:lpstr>
      <vt:lpstr>Services_900s</vt:lpstr>
    </vt:vector>
  </TitlesOfParts>
  <Company>City of Austin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Hasan, Manar</dc:creator>
  <cp:lastModifiedBy>ChrispinP</cp:lastModifiedBy>
  <cp:lastPrinted>2026-03-26T15:16:15Z</cp:lastPrinted>
  <dcterms:created xsi:type="dcterms:W3CDTF">2025-06-09T15:28:25Z</dcterms:created>
  <dcterms:modified xsi:type="dcterms:W3CDTF">2026-04-01T14:50:01Z</dcterms:modified>
</cp:coreProperties>
</file>